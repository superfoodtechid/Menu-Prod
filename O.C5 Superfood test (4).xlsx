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tem" sheetId="1" state="visible" r:id="rId1"/>
    <sheet name="Modifier" sheetId="2" state="visible" r:id="rId2"/>
  </sheets>
  <definedNames>
    <definedName name="_xlnm._FilterDatabase" localSheetId="0" hidden="1">'Item'!$A$1:$AP$967</definedName>
    <definedName name="_xlnm._FilterDatabase" localSheetId="1" hidden="1">'Modifier'!$A$1:$Y$1000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p]#,##0"/>
    <numFmt numFmtId="165" formatCode="0.0%"/>
  </numFmts>
  <fonts count="2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0"/>
    </font>
    <font>
      <name val="Arial"/>
      <b val="1"/>
      <color theme="1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rgb="FF000000"/>
      <scheme val="minor"/>
    </font>
    <font>
      <name val="Arial"/>
      <b val="1"/>
      <color theme="1"/>
      <scheme val="minor"/>
    </font>
    <font>
      <name val="Arial"/>
      <b val="1"/>
      <color rgb="FFFF0000"/>
    </font>
    <font>
      <name val="Arial"/>
      <b val="1"/>
      <color rgb="FFFF0000"/>
      <sz val="10"/>
    </font>
    <font>
      <name val="Arial"/>
      <color rgb="FF0000FF"/>
    </font>
    <font>
      <name val="Arial"/>
      <color rgb="FF000000"/>
      <scheme val="minor"/>
    </font>
    <font>
      <name val="Arial"/>
      <color rgb="FF0000FF"/>
      <scheme val="minor"/>
    </font>
    <font>
      <name val="Arial"/>
      <color rgb="FFFF0000"/>
    </font>
    <font>
      <name val="Arial"/>
      <color rgb="FFFF0000"/>
      <sz val="10"/>
    </font>
    <font>
      <name val="Arial"/>
      <b val="1"/>
      <color rgb="FF000000"/>
      <sz val="10"/>
    </font>
    <font>
      <name val="Arial"/>
      <color theme="1"/>
    </font>
    <font>
      <name val="Arial"/>
      <color rgb="FF000000"/>
      <sz val="10"/>
    </font>
    <font>
      <name val="Arial"/>
      <strike val="1"/>
      <color theme="1"/>
      <scheme val="minor"/>
    </font>
    <font>
      <name val="Arial"/>
      <i val="1"/>
      <color rgb="FF0000FF"/>
      <u val="single"/>
    </font>
    <font>
      <name val="Arial"/>
      <color theme="1"/>
      <sz val="10"/>
      <scheme val="minor"/>
    </font>
  </fonts>
  <fills count="1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7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3" fontId="8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center"/>
    </xf>
    <xf numFmtId="164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top"/>
    </xf>
    <xf numFmtId="164" fontId="14" fillId="3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9" fontId="13" fillId="2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9" fontId="10" fillId="4" borderId="0" applyAlignment="1" pivotButton="0" quotePrefix="0" xfId="0">
      <alignment vertical="center"/>
    </xf>
    <xf numFmtId="9" fontId="14" fillId="2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9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164" fontId="9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top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14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1" fillId="5" borderId="0" applyAlignment="1" pivotButton="0" quotePrefix="0" xfId="0">
      <alignment vertical="top"/>
    </xf>
    <xf numFmtId="37" fontId="4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5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vertical="center"/>
    </xf>
    <xf numFmtId="164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1" fontId="4" fillId="9" borderId="0" applyAlignment="1" pivotButton="0" quotePrefix="0" xfId="0">
      <alignment horizontal="righ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right" vertical="center"/>
    </xf>
    <xf numFmtId="9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37" fontId="5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4" fillId="3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7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164" fontId="4" fillId="9" borderId="0" applyAlignment="1" pivotButton="0" quotePrefix="0" xfId="0">
      <alignment horizontal="lef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37" fontId="20" fillId="0" borderId="0" applyAlignment="1" pivotButton="0" quotePrefix="0" xfId="0">
      <alignment horizontal="left" vertical="center"/>
    </xf>
    <xf numFmtId="37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9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tc={92b84727-574a-437e-9e6a-1ff165510909}</author>
    <author>tc={07a56648-8407-4e1a-8e12-d50a8099cf10}</author>
    <author>tc={24e54c75-2a94-4b2a-9abb-a7a3eeaa6b92}</author>
  </authors>
  <commentList>
    <comment ref="R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
Unavailable
</t>
      </text>
    </comment>
    <comment ref="S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
Hide
</t>
      </text>
    </comment>
    <comment ref="AH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Selisih FP - RP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W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20.75" customWidth="1" style="131" min="2" max="2"/>
    <col width="18.13" customWidth="1" style="131" min="3" max="3"/>
    <col width="26.63" customWidth="1" style="131" min="4" max="4"/>
    <col width="17.75" customWidth="1" style="131" min="5" max="5"/>
    <col width="12.88" customWidth="1" style="131" min="6" max="6"/>
    <col width="15.75" customWidth="1" style="131" min="7" max="7"/>
    <col width="11" customWidth="1" style="131" min="8" max="8"/>
    <col width="44" customWidth="1" style="131" min="9" max="9"/>
    <col width="37" customWidth="1" style="131" min="10" max="10"/>
    <col width="31.25" customWidth="1" style="131" min="11" max="11"/>
    <col width="10.5" customWidth="1" style="131" min="12" max="12"/>
    <col width="22.88" customWidth="1" style="131" min="13" max="13"/>
    <col width="20" customWidth="1" style="131" min="14" max="14"/>
    <col width="11.38" customWidth="1" style="131" min="15" max="15"/>
    <col width="19.75" customWidth="1" style="131" min="16" max="16"/>
    <col width="14.25" customWidth="1" style="131" min="17" max="17"/>
    <col width="12.25" customWidth="1" style="131" min="18" max="19"/>
    <col width="10.75" customWidth="1" style="131" min="20" max="20"/>
    <col width="6.88" customWidth="1" style="131" min="21" max="21"/>
    <col width="12.63" customWidth="1" style="131" min="22" max="22"/>
    <col width="17.13" customWidth="1" style="131" min="23" max="23"/>
    <col width="22.25" customWidth="1" style="131" min="24" max="24"/>
    <col width="21.5" customWidth="1" style="131" min="25" max="25"/>
    <col width="19" customWidth="1" style="131" min="26" max="26"/>
    <col width="22.13" customWidth="1" style="131" min="27" max="27"/>
    <col width="21.88" customWidth="1" style="131" min="28" max="28"/>
    <col width="23" customWidth="1" style="131" min="29" max="29"/>
    <col width="26.5" customWidth="1" style="131" min="30" max="30"/>
    <col width="26.13" customWidth="1" style="131" min="31" max="31"/>
    <col width="30.5" customWidth="1" style="131" min="32" max="32"/>
    <col width="22" customWidth="1" style="131" min="33" max="33"/>
    <col width="22.75" customWidth="1" style="131" min="34" max="34"/>
    <col width="17.63" customWidth="1" style="131" min="35" max="35"/>
    <col width="19.25" customWidth="1" style="131" min="36" max="36"/>
    <col width="20.38" customWidth="1" style="131" min="37" max="37"/>
    <col width="23.63" customWidth="1" style="131" min="38" max="38"/>
    <col width="19.38" customWidth="1" style="131" min="39" max="39"/>
    <col width="19.5" customWidth="1" style="131" min="40" max="40"/>
    <col width="17.25" customWidth="1" style="131" min="41" max="41"/>
    <col width="21.5" customWidth="1" style="131" min="42" max="42"/>
  </cols>
  <sheetData>
    <row r="1">
      <c r="A1" s="7" t="inlineStr">
        <is>
          <t>OFD</t>
        </is>
      </c>
      <c r="B1" s="7" t="inlineStr">
        <is>
          <t>Outlet Name</t>
        </is>
      </c>
      <c r="C1" s="7" t="inlineStr">
        <is>
          <t>Outlet Short Name</t>
        </is>
      </c>
      <c r="D1" s="7" t="inlineStr">
        <is>
          <t>Outlet Link</t>
        </is>
      </c>
      <c r="E1" s="7" t="inlineStr">
        <is>
          <t>SID</t>
        </is>
      </c>
      <c r="F1" s="7" t="inlineStr">
        <is>
          <t>Category ID</t>
        </is>
      </c>
      <c r="G1" s="7" t="inlineStr">
        <is>
          <t>Category</t>
        </is>
      </c>
      <c r="H1" s="7" t="inlineStr">
        <is>
          <t>Item ID</t>
        </is>
      </c>
      <c r="I1" s="7" t="inlineStr">
        <is>
          <t>Item</t>
        </is>
      </c>
      <c r="J1" s="7" t="inlineStr">
        <is>
          <t>Photo Link</t>
        </is>
      </c>
      <c r="K1" s="7" t="inlineStr">
        <is>
          <t>Description</t>
        </is>
      </c>
      <c r="L1" s="11" t="inlineStr">
        <is>
          <t>Keyword</t>
        </is>
      </c>
      <c r="M1" s="132" t="inlineStr">
        <is>
          <t>Item Name Improvement</t>
        </is>
      </c>
      <c r="N1" s="132" t="inlineStr">
        <is>
          <t>Design Improvement</t>
        </is>
      </c>
      <c r="O1" s="15" t="inlineStr">
        <is>
          <t>Total Sold</t>
        </is>
      </c>
      <c r="P1" s="15" t="inlineStr">
        <is>
          <t>Total Modifier Group</t>
        </is>
      </c>
      <c r="Q1" s="15" t="inlineStr">
        <is>
          <t>Total Modifier</t>
        </is>
      </c>
      <c r="R1" s="133" t="inlineStr">
        <is>
          <t>Availability</t>
        </is>
      </c>
      <c r="S1" s="133" t="inlineStr">
        <is>
          <t>Visibility</t>
        </is>
      </c>
      <c r="T1" s="134">
        <f t="array" ref="T1:T967">{"Category"; IF(G2:G967="", , LEN(G2:G967))}</f>
        <v/>
      </c>
      <c r="U1" s="134">
        <f t="array" ref="U1:U967">{"Item"; IF(I2:I967="", , LEN(I2:I967))}</f>
        <v/>
      </c>
      <c r="V1" s="134">
        <f t="array" ref="V1:V967">{"Description"; IF(K2:K967="", , LEN(K2:K967))}</f>
        <v/>
      </c>
      <c r="W1" s="135" t="inlineStr">
        <is>
          <t>Offline Price (Rp)</t>
        </is>
      </c>
      <c r="X1" s="135" t="inlineStr">
        <is>
          <t>Offline Adjustment (Rp)</t>
        </is>
      </c>
      <c r="Y1" s="136">
        <f t="array" ref="Y1:Y967">{
"Final Offline Price (Rp)";
IF(
 (W2:W967="")*(X2:X967=""),
 ,
 N(W2:W967)+N(X2:X967)
)
}</f>
        <v/>
      </c>
      <c r="Z1" s="53">
        <f t="array" ref="Z1:Z967">{
"Current Markup (%)";
IF(
 (AB2:AB967="")+(W2:W967=""),
 ,
 (AB2:AB967-W2:W967)/W2:W967
)
}</f>
        <v/>
      </c>
      <c r="AA1" s="137" t="inlineStr">
        <is>
          <t>Current Fake Price (Rp)</t>
        </is>
      </c>
      <c r="AB1" s="137" t="inlineStr">
        <is>
          <t>Current Real Price (Rp)</t>
        </is>
      </c>
      <c r="AC1" s="138" t="inlineStr">
        <is>
          <t>Current Adjustment (Rp)</t>
        </is>
      </c>
      <c r="AD1" s="60">
        <f t="array" ref="AD1:AD967">{
"Final Current Fake Price (Rp)";
IF(
 (AA2:AA967="")*(AC2:AC967=""),
 ,
 N(AA2:AA967)+N(AC2:AC967)
)
}</f>
        <v/>
      </c>
      <c r="AE1" s="139">
        <f t="array" ref="AE1:AE967">{"Final Current Real Price (Rp)";IF(AD2:AD967="","",AD2:AD967-(AD2:AD967*AG2:AG967))}</f>
        <v/>
      </c>
      <c r="AF1" s="139">
        <f t="array" ref="AF1:AF967">{"Current Real Price Difference (Rp)";IF(AE2:AE967="","",AE2:AE967-AB2:AB967)}</f>
        <v/>
      </c>
      <c r="AG1" s="69">
        <f t="array" ref="AG1:AG967">{
"Current Slash Price (%)";
IF(
 (AA2:AA967="")+(AB2:AB967=""),
 ,
 (AA2:AA967-AB2:AB967)/AA2:AA967
)
}</f>
        <v/>
      </c>
      <c r="AH1" s="140">
        <f t="array" ref="AH1:AH967">{
"Current Slash Price (Rp)";
IF(
 (AA2:AA967="")+(AB2:AB967=""),
 ,
 AA2:AA967-AB2:AB967
)
}</f>
        <v/>
      </c>
      <c r="AI1" s="72" t="inlineStr">
        <is>
          <t>New Markup (%)</t>
        </is>
      </c>
      <c r="AJ1" s="141">
        <f t="array" ref="AJ1:AJ967">{
"New Real Price (Rp)";
IF(
 (Y2:Y967="")+(AI2:AI967=""),
 ,
 Y2:Y967+(Y2:Y967*AI2:AI967)
)
}</f>
        <v/>
      </c>
      <c r="AK1" s="142" t="inlineStr">
        <is>
          <t>New Adjustment (Rp)</t>
        </is>
      </c>
      <c r="AL1" s="141">
        <f t="array" ref="AL1:AL967">{
"New Final Real Price (Rp)";
IF(
 (AJ2:AJ967="")*(AK2:AK967=""),
 ,
 N(AJ2:AJ967)+N(AK2:AK967)
)
}</f>
        <v/>
      </c>
      <c r="AM1" s="78" t="inlineStr">
        <is>
          <t>New Slash Price (%)</t>
        </is>
      </c>
      <c r="AN1" s="141">
        <f t="array" ref="AN1:AN967">{
"New Fake Price (Rp)";
IF(
 AL2:AL967="",
 ,
 AL2:AL967/(1-N(AM2:AM967))
)
}</f>
        <v/>
      </c>
      <c r="AO1" s="143">
        <f t="array" ref="AO1:AO967">{"Price Change (%)";IF(AA2:AA967="","",(AN2:AN967-AA2:AA967)/AA2:AA967)}</f>
        <v/>
      </c>
      <c r="AP1" s="144" t="inlineStr">
        <is>
          <t>Notes</t>
        </is>
      </c>
      <c r="AQ1" s="145" t="n"/>
      <c r="AR1" s="86" t="n"/>
      <c r="AS1" s="145" t="n"/>
      <c r="AT1" s="86" t="n"/>
      <c r="AU1" s="145" t="n"/>
      <c r="AV1" s="86" t="n"/>
      <c r="AW1" s="145" t="n"/>
    </row>
    <row r="2">
      <c r="A2" s="0" t="inlineStr">
        <is>
          <t>GoFood</t>
        </is>
      </c>
      <c r="B2" s="0" t="inlineStr">
        <is>
          <t>Superfood (test)</t>
        </is>
      </c>
      <c r="C2" s="0" t="inlineStr">
        <is>
          <t>F</t>
        </is>
      </c>
      <c r="D2" s="0" t="inlineStr">
        <is>
          <t>https://gofood.link/a/G828092803</t>
        </is>
      </c>
      <c r="E2" s="0" t="inlineStr">
        <is>
          <t>G828092803</t>
        </is>
      </c>
      <c r="F2" s="0" t="inlineStr">
        <is>
          <t>fb0cefd3-317a-4cad-b7fc-f7764ace130c</t>
        </is>
      </c>
      <c r="G2" s="0" t="inlineStr">
        <is>
          <t>Category A</t>
        </is>
      </c>
      <c r="H2" s="0" t="inlineStr">
        <is>
          <t>ba2dd310-6808-43eb-85fa-ac279ebfd9f4</t>
        </is>
      </c>
      <c r="I2" s="0" t="inlineStr">
        <is>
          <t>Item A</t>
        </is>
      </c>
      <c r="J2" s="0" t="inlineStr">
        <is>
          <t>https://i.gojekapi.com/darkroom/gofood-indonesia/v2/images/uploads/557c10a7-adbc-45ab-9dc5-5acab63d18d8_menu-item-image_1782320864663.jpg</t>
        </is>
      </c>
      <c r="K2" s="0" t="inlineStr">
        <is>
          <t>Desc a</t>
        </is>
      </c>
      <c r="L2" s="0" t="inlineStr"/>
      <c r="M2" s="0" t="inlineStr"/>
      <c r="N2" s="0" t="inlineStr"/>
      <c r="O2" s="0" t="n">
        <v>0</v>
      </c>
      <c r="P2" s="0" t="n">
        <v>0</v>
      </c>
      <c r="Q2" s="0" t="n">
        <v>0</v>
      </c>
      <c r="R2" s="0" t="inlineStr">
        <is>
          <t>Available</t>
        </is>
      </c>
      <c r="S2" s="0" t="inlineStr">
        <is>
          <t>Show</t>
        </is>
      </c>
      <c r="W2" s="0" t="inlineStr"/>
      <c r="X2" s="0" t="inlineStr"/>
      <c r="Z2" s="168" t="n"/>
      <c r="AA2" s="0" t="n">
        <v>42000</v>
      </c>
      <c r="AB2" s="0" t="n">
        <v>42000</v>
      </c>
      <c r="AC2" s="0" t="inlineStr"/>
      <c r="AG2" s="168" t="n"/>
      <c r="AI2" s="168" t="inlineStr"/>
      <c r="AK2" s="0" t="inlineStr"/>
      <c r="AM2" s="168" t="inlineStr"/>
      <c r="AN2" t="n">
        <v>65000</v>
      </c>
      <c r="AO2" s="168" t="n"/>
      <c r="AP2" s="0" t="inlineStr"/>
    </row>
    <row r="3">
      <c r="A3" s="0" t="inlineStr">
        <is>
          <t>GoFood</t>
        </is>
      </c>
      <c r="B3" s="0" t="inlineStr">
        <is>
          <t>Superfood (test)</t>
        </is>
      </c>
      <c r="C3" s="0" t="inlineStr">
        <is>
          <t>F</t>
        </is>
      </c>
      <c r="D3" s="0" t="inlineStr">
        <is>
          <t>https://gofood.link/a/G828092803</t>
        </is>
      </c>
      <c r="E3" s="0" t="inlineStr">
        <is>
          <t>G828092803</t>
        </is>
      </c>
      <c r="F3" s="0" t="inlineStr">
        <is>
          <t>fb0cefd3-317a-4cad-b7fc-f7764ace130c</t>
        </is>
      </c>
      <c r="G3" s="0" t="inlineStr">
        <is>
          <t>Category A</t>
        </is>
      </c>
      <c r="H3" s="0" t="inlineStr">
        <is>
          <t>0e369089-d2d7-4d81-b849-bb5ab7f96a72</t>
        </is>
      </c>
      <c r="I3" s="0" t="inlineStr">
        <is>
          <t>item inung</t>
        </is>
      </c>
      <c r="J3" s="0" t="inlineStr">
        <is>
          <t>https://i.gojekapi.com/darkroom/gofood-indonesia/v2/images/uploads/8251461c-318a-4055-881e-cacd8ea5af9c_menu-item-image_1782137958504.jpg</t>
        </is>
      </c>
      <c r="K3" s="0" t="inlineStr">
        <is>
          <t>Desc b</t>
        </is>
      </c>
      <c r="L3" s="0" t="inlineStr"/>
      <c r="M3" s="0" t="inlineStr"/>
      <c r="N3" s="0" t="inlineStr"/>
      <c r="O3" s="0" t="n">
        <v>0</v>
      </c>
      <c r="P3" s="0" t="n">
        <v>0</v>
      </c>
      <c r="Q3" s="0" t="n">
        <v>0</v>
      </c>
      <c r="R3" s="0" t="inlineStr">
        <is>
          <t>Available</t>
        </is>
      </c>
      <c r="S3" s="0" t="inlineStr">
        <is>
          <t>Show</t>
        </is>
      </c>
      <c r="W3" s="0" t="inlineStr"/>
      <c r="X3" s="0" t="inlineStr"/>
      <c r="Z3" s="168" t="n"/>
      <c r="AA3" s="0" t="n">
        <v>37000</v>
      </c>
      <c r="AB3" s="0" t="n">
        <v>37000</v>
      </c>
      <c r="AC3" s="0" t="inlineStr"/>
      <c r="AG3" s="168" t="n"/>
      <c r="AI3" s="168" t="inlineStr"/>
      <c r="AK3" s="0" t="inlineStr"/>
      <c r="AM3" s="168" t="inlineStr"/>
      <c r="AN3" t="n">
        <v>25000</v>
      </c>
      <c r="AO3" s="168" t="n"/>
      <c r="AP3" s="0" t="inlineStr"/>
    </row>
    <row r="4">
      <c r="A4" s="0" t="inlineStr">
        <is>
          <t>GoFood</t>
        </is>
      </c>
      <c r="B4" s="0" t="inlineStr">
        <is>
          <t>Superfood (test)</t>
        </is>
      </c>
      <c r="C4" s="0" t="inlineStr">
        <is>
          <t>F</t>
        </is>
      </c>
      <c r="D4" s="0" t="inlineStr">
        <is>
          <t>https://gofood.link/a/G828092803</t>
        </is>
      </c>
      <c r="E4" s="0" t="inlineStr">
        <is>
          <t>G828092803</t>
        </is>
      </c>
      <c r="F4" s="0" t="inlineStr">
        <is>
          <t>213e4eda-0d31-4410-a634-42535283965e</t>
        </is>
      </c>
      <c r="G4" s="0" t="inlineStr">
        <is>
          <t>Category B</t>
        </is>
      </c>
      <c r="H4" s="0" t="inlineStr">
        <is>
          <t>a6daf398-1873-42be-9932-bb68b61e924e</t>
        </is>
      </c>
      <c r="I4" s="0" t="inlineStr">
        <is>
          <t>Item C</t>
        </is>
      </c>
      <c r="J4" s="0" t="inlineStr">
        <is>
          <t>https://i.gojekapi.com/darkroom/gofood-indonesia/v2/images/uploads/7fbb1c04-1b7d-468a-8dad-6e9c070eaa06_menu-item-image_1782137985784.jpg</t>
        </is>
      </c>
      <c r="K4" s="0" t="inlineStr">
        <is>
          <t>Desc c</t>
        </is>
      </c>
      <c r="L4" s="0" t="inlineStr"/>
      <c r="M4" s="0" t="inlineStr"/>
      <c r="N4" s="0" t="inlineStr"/>
      <c r="O4" s="0" t="n">
        <v>0</v>
      </c>
      <c r="P4" s="0" t="n">
        <v>0</v>
      </c>
      <c r="Q4" s="0" t="n">
        <v>0</v>
      </c>
      <c r="R4" s="0" t="inlineStr">
        <is>
          <t>Available</t>
        </is>
      </c>
      <c r="S4" s="0" t="inlineStr">
        <is>
          <t>Show</t>
        </is>
      </c>
      <c r="W4" s="0" t="inlineStr"/>
      <c r="X4" s="0" t="inlineStr"/>
      <c r="Z4" s="168" t="n"/>
      <c r="AA4" s="0" t="n">
        <v>56000</v>
      </c>
      <c r="AB4" s="0" t="n">
        <v>56000</v>
      </c>
      <c r="AC4" s="0" t="inlineStr"/>
      <c r="AG4" s="168" t="n"/>
      <c r="AI4" s="168" t="inlineStr"/>
      <c r="AK4" s="0" t="inlineStr"/>
      <c r="AM4" s="168" t="inlineStr"/>
      <c r="AO4" s="168" t="n"/>
      <c r="AP4" s="0" t="inlineStr"/>
    </row>
    <row r="5">
      <c r="A5" s="0" t="inlineStr">
        <is>
          <t>GoFood</t>
        </is>
      </c>
      <c r="B5" s="0" t="inlineStr">
        <is>
          <t>Superfood (test)</t>
        </is>
      </c>
      <c r="C5" s="0" t="inlineStr">
        <is>
          <t>F</t>
        </is>
      </c>
      <c r="D5" s="0" t="inlineStr">
        <is>
          <t>https://gofood.link/a/G828092803</t>
        </is>
      </c>
      <c r="E5" s="0" t="inlineStr">
        <is>
          <t>G828092803</t>
        </is>
      </c>
      <c r="F5" s="0" t="inlineStr">
        <is>
          <t>213e4eda-0d31-4410-a634-42535283965e</t>
        </is>
      </c>
      <c r="G5" s="0" t="inlineStr">
        <is>
          <t>Category B</t>
        </is>
      </c>
      <c r="H5" s="0" t="inlineStr">
        <is>
          <t>741d0fe4-8e1c-4454-b8c3-e138e898112d</t>
        </is>
      </c>
      <c r="I5" s="0" t="inlineStr">
        <is>
          <t>test item d</t>
        </is>
      </c>
      <c r="J5" s="0" t="inlineStr">
        <is>
          <t>https://i.gojekapi.com/darkroom/gofood-indonesia/v2/images/uploads/14ee4a9c-19bd-4833-b173-dfafa6ba11a2_menu-item-image_1782138011476.jpg</t>
        </is>
      </c>
      <c r="K5" s="0" t="inlineStr">
        <is>
          <t>test item d</t>
        </is>
      </c>
      <c r="L5" s="0" t="inlineStr"/>
      <c r="M5" s="0" t="inlineStr"/>
      <c r="N5" s="0" t="inlineStr"/>
      <c r="O5" s="0" t="n">
        <v>0</v>
      </c>
      <c r="P5" s="0" t="n">
        <v>0</v>
      </c>
      <c r="Q5" s="0" t="n">
        <v>0</v>
      </c>
      <c r="R5" s="0" t="inlineStr">
        <is>
          <t>Available</t>
        </is>
      </c>
      <c r="S5" s="0" t="inlineStr">
        <is>
          <t>Show</t>
        </is>
      </c>
      <c r="W5" s="0" t="inlineStr"/>
      <c r="X5" s="0" t="inlineStr"/>
      <c r="Z5" s="168" t="n"/>
      <c r="AA5" s="0" t="n">
        <v>62000</v>
      </c>
      <c r="AB5" s="0" t="n">
        <v>62000</v>
      </c>
      <c r="AC5" s="0" t="inlineStr"/>
      <c r="AG5" s="168" t="n"/>
      <c r="AI5" s="168" t="inlineStr"/>
      <c r="AK5" s="0" t="inlineStr"/>
      <c r="AM5" s="168" t="inlineStr"/>
      <c r="AO5" s="168" t="n"/>
      <c r="AP5" s="0" t="inlineStr"/>
    </row>
    <row r="6">
      <c r="A6" s="0" t="inlineStr">
        <is>
          <t>GoFood</t>
        </is>
      </c>
      <c r="B6" s="0" t="inlineStr">
        <is>
          <t>Superfood (test)</t>
        </is>
      </c>
      <c r="C6" s="0" t="inlineStr">
        <is>
          <t>F</t>
        </is>
      </c>
      <c r="D6" s="0" t="inlineStr">
        <is>
          <t>https://gofood.link/a/G828092803</t>
        </is>
      </c>
      <c r="E6" s="0" t="inlineStr">
        <is>
          <t>G828092803</t>
        </is>
      </c>
      <c r="F6" s="0" t="inlineStr">
        <is>
          <t>213e4eda-0d31-4410-a634-42535283965e</t>
        </is>
      </c>
      <c r="G6" s="0" t="inlineStr">
        <is>
          <t>Category B</t>
        </is>
      </c>
      <c r="H6" s="0" t="inlineStr">
        <is>
          <t>4609b648-99b7-487b-8002-fbde3bde6755</t>
        </is>
      </c>
      <c r="I6" s="0" t="inlineStr">
        <is>
          <t>Item E</t>
        </is>
      </c>
      <c r="J6" s="0" t="inlineStr">
        <is>
          <t>https://i.gojekapi.com/darkroom/gofood-indonesia/v2/images/uploads/62459252-0ff3-409b-8fe3-0dfea2d8047c_menu-item-image_1782138035096.jpg</t>
        </is>
      </c>
      <c r="K6" s="0" t="inlineStr">
        <is>
          <t>Desc E</t>
        </is>
      </c>
      <c r="L6" s="0" t="inlineStr"/>
      <c r="M6" s="0" t="inlineStr"/>
      <c r="N6" s="0" t="inlineStr"/>
      <c r="O6" s="0" t="n">
        <v>0</v>
      </c>
      <c r="P6" s="0" t="n">
        <v>0</v>
      </c>
      <c r="Q6" s="0" t="n">
        <v>0</v>
      </c>
      <c r="R6" s="0" t="inlineStr">
        <is>
          <t>Available</t>
        </is>
      </c>
      <c r="S6" s="0" t="inlineStr">
        <is>
          <t>Show</t>
        </is>
      </c>
      <c r="W6" s="0" t="inlineStr"/>
      <c r="X6" s="0" t="inlineStr"/>
      <c r="Z6" s="168" t="n"/>
      <c r="AA6" s="0" t="n">
        <v>70000</v>
      </c>
      <c r="AB6" s="0" t="n">
        <v>70000</v>
      </c>
      <c r="AC6" s="0" t="inlineStr"/>
      <c r="AG6" s="168" t="n"/>
      <c r="AI6" s="168" t="inlineStr"/>
      <c r="AK6" s="0" t="inlineStr"/>
      <c r="AM6" s="168" t="inlineStr"/>
      <c r="AO6" s="168" t="n"/>
      <c r="AP6" s="0" t="inlineStr"/>
    </row>
    <row r="7">
      <c r="A7" s="0" t="inlineStr">
        <is>
          <t>GoFood</t>
        </is>
      </c>
      <c r="B7" s="0" t="inlineStr">
        <is>
          <t>Superfood (test)</t>
        </is>
      </c>
      <c r="C7" s="0" t="inlineStr">
        <is>
          <t>F</t>
        </is>
      </c>
      <c r="D7" s="0" t="inlineStr">
        <is>
          <t>https://gofood.link/a/G828092803</t>
        </is>
      </c>
      <c r="E7" s="0" t="inlineStr">
        <is>
          <t>G828092803</t>
        </is>
      </c>
      <c r="F7" s="0" t="inlineStr">
        <is>
          <t>4074f907-d44b-47a1-88b6-72ad1824039c</t>
        </is>
      </c>
      <c r="G7" s="0" t="inlineStr">
        <is>
          <t>Mie &amp; Pasta</t>
        </is>
      </c>
      <c r="H7" s="0" t="inlineStr">
        <is>
          <t>24b65fa0-92d3-4f1c-bce7-159157a7bf94</t>
        </is>
      </c>
      <c r="I7" s="0" t="inlineStr">
        <is>
          <t>Mie Goreng Ayam</t>
        </is>
      </c>
      <c r="J7" s="0" t="inlineStr">
        <is>
          <t>https://i.gojekapi.com/darkroom/gofood-indonesia/v2/images/uploads/100bdcfd-60fc-4128-a70b-b7bd85523c31_1SMefc_wz0QTmk6befaRhrc6BXCEIOD3u.jpeg</t>
        </is>
      </c>
      <c r="K7" s="0" t="inlineStr"/>
      <c r="L7" s="0" t="inlineStr"/>
      <c r="M7" s="0" t="inlineStr"/>
      <c r="N7" s="0" t="inlineStr"/>
      <c r="O7" s="0" t="n">
        <v>0</v>
      </c>
      <c r="P7" s="0" t="n">
        <v>0</v>
      </c>
      <c r="Q7" s="0" t="n">
        <v>0</v>
      </c>
      <c r="R7" s="0" t="inlineStr">
        <is>
          <t>Available</t>
        </is>
      </c>
      <c r="S7" s="0" t="inlineStr">
        <is>
          <t>Show</t>
        </is>
      </c>
      <c r="W7" s="0" t="inlineStr"/>
      <c r="X7" s="0" t="inlineStr"/>
      <c r="Z7" s="168" t="n"/>
      <c r="AA7" s="0" t="n">
        <v>27000</v>
      </c>
      <c r="AB7" s="0" t="n">
        <v>27000</v>
      </c>
      <c r="AC7" s="0" t="inlineStr"/>
      <c r="AG7" s="168" t="n"/>
      <c r="AI7" s="168" t="inlineStr"/>
      <c r="AK7" s="0" t="inlineStr"/>
      <c r="AM7" s="168" t="inlineStr"/>
      <c r="AO7" s="168" t="n"/>
      <c r="AP7" s="0" t="inlineStr"/>
    </row>
    <row r="8">
      <c r="A8" s="0" t="inlineStr">
        <is>
          <t>GoFood</t>
        </is>
      </c>
      <c r="B8" s="0" t="inlineStr">
        <is>
          <t>Superfood (test)</t>
        </is>
      </c>
      <c r="C8" s="0" t="inlineStr">
        <is>
          <t>F</t>
        </is>
      </c>
      <c r="D8" s="0" t="inlineStr">
        <is>
          <t>https://gofood.link/a/G828092803</t>
        </is>
      </c>
      <c r="E8" s="0" t="inlineStr">
        <is>
          <t>G828092803</t>
        </is>
      </c>
      <c r="F8" s="0" t="inlineStr">
        <is>
          <t>4074f907-d44b-47a1-88b6-72ad1824039c</t>
        </is>
      </c>
      <c r="G8" s="0" t="inlineStr">
        <is>
          <t>Mie &amp; Pasta</t>
        </is>
      </c>
      <c r="H8" s="0" t="inlineStr">
        <is>
          <t>4587fb3a-6576-4209-ad20-df278e316096</t>
        </is>
      </c>
      <c r="I8" s="0" t="inlineStr">
        <is>
          <t>Mie Goreng Seafood</t>
        </is>
      </c>
      <c r="J8" s="0" t="inlineStr"/>
      <c r="K8" s="0" t="inlineStr"/>
      <c r="L8" s="0" t="inlineStr"/>
      <c r="M8" s="0" t="inlineStr"/>
      <c r="N8" s="0" t="inlineStr"/>
      <c r="O8" s="0" t="n">
        <v>0</v>
      </c>
      <c r="P8" s="0" t="n">
        <v>0</v>
      </c>
      <c r="Q8" s="0" t="n">
        <v>0</v>
      </c>
      <c r="R8" s="0" t="inlineStr">
        <is>
          <t>Available</t>
        </is>
      </c>
      <c r="S8" s="0" t="inlineStr">
        <is>
          <t>Show</t>
        </is>
      </c>
      <c r="W8" s="0" t="inlineStr"/>
      <c r="X8" s="0" t="inlineStr"/>
      <c r="Z8" s="168" t="n"/>
      <c r="AA8" s="0" t="n">
        <v>31000</v>
      </c>
      <c r="AB8" s="0" t="n">
        <v>31000</v>
      </c>
      <c r="AC8" s="0" t="inlineStr"/>
      <c r="AG8" s="168" t="n"/>
      <c r="AI8" s="168" t="inlineStr"/>
      <c r="AK8" s="0" t="inlineStr"/>
      <c r="AM8" s="168" t="inlineStr"/>
      <c r="AO8" s="168" t="n"/>
      <c r="AP8" s="0" t="inlineStr"/>
    </row>
    <row r="9">
      <c r="A9" s="0" t="inlineStr">
        <is>
          <t>GoFood</t>
        </is>
      </c>
      <c r="B9" s="0" t="inlineStr">
        <is>
          <t>Superfood (test)</t>
        </is>
      </c>
      <c r="C9" s="0" t="inlineStr">
        <is>
          <t>F</t>
        </is>
      </c>
      <c r="D9" s="0" t="inlineStr">
        <is>
          <t>https://gofood.link/a/G828092803</t>
        </is>
      </c>
      <c r="E9" s="0" t="inlineStr">
        <is>
          <t>G828092803</t>
        </is>
      </c>
      <c r="F9" s="0" t="inlineStr">
        <is>
          <t>4074f907-d44b-47a1-88b6-72ad1824039c</t>
        </is>
      </c>
      <c r="G9" s="0" t="inlineStr">
        <is>
          <t>Mie &amp; Pasta</t>
        </is>
      </c>
      <c r="H9" s="0" t="inlineStr">
        <is>
          <t>338cbca3-3222-48fc-ac4a-b41744123f5a</t>
        </is>
      </c>
      <c r="I9" s="0" t="inlineStr">
        <is>
          <t>Mie Goreng Jawa</t>
        </is>
      </c>
      <c r="J9" s="0" t="inlineStr"/>
      <c r="K9" s="0" t="inlineStr"/>
      <c r="L9" s="0" t="inlineStr"/>
      <c r="M9" s="0" t="inlineStr"/>
      <c r="N9" s="0" t="inlineStr"/>
      <c r="O9" s="0" t="n">
        <v>0</v>
      </c>
      <c r="P9" s="0" t="n">
        <v>0</v>
      </c>
      <c r="Q9" s="0" t="n">
        <v>0</v>
      </c>
      <c r="R9" s="0" t="inlineStr">
        <is>
          <t>Available</t>
        </is>
      </c>
      <c r="S9" s="0" t="inlineStr">
        <is>
          <t>Show</t>
        </is>
      </c>
      <c r="W9" s="0" t="inlineStr"/>
      <c r="X9" s="0" t="inlineStr"/>
      <c r="Z9" s="168" t="n"/>
      <c r="AA9" s="0" t="n">
        <v>26000</v>
      </c>
      <c r="AB9" s="0" t="n">
        <v>26000</v>
      </c>
      <c r="AC9" s="0" t="inlineStr"/>
      <c r="AG9" s="168" t="n"/>
      <c r="AI9" s="168" t="inlineStr"/>
      <c r="AK9" s="0" t="inlineStr"/>
      <c r="AM9" s="168" t="inlineStr"/>
      <c r="AO9" s="168" t="n"/>
      <c r="AP9" s="0" t="inlineStr"/>
    </row>
    <row r="10">
      <c r="A10" s="0" t="inlineStr">
        <is>
          <t>GoFood</t>
        </is>
      </c>
      <c r="B10" s="0" t="inlineStr">
        <is>
          <t>Superfood (test)</t>
        </is>
      </c>
      <c r="C10" s="0" t="inlineStr">
        <is>
          <t>F</t>
        </is>
      </c>
      <c r="D10" s="0" t="inlineStr">
        <is>
          <t>https://gofood.link/a/G828092803</t>
        </is>
      </c>
      <c r="E10" s="0" t="inlineStr">
        <is>
          <t>G828092803</t>
        </is>
      </c>
      <c r="F10" s="0" t="inlineStr">
        <is>
          <t>4074f907-d44b-47a1-88b6-72ad1824039c</t>
        </is>
      </c>
      <c r="G10" s="0" t="inlineStr">
        <is>
          <t>Mie &amp; Pasta</t>
        </is>
      </c>
      <c r="H10" s="0" t="inlineStr">
        <is>
          <t>b97016f5-f4d1-4dae-9e4c-e98d4c6b16c6</t>
        </is>
      </c>
      <c r="I10" s="0" t="inlineStr">
        <is>
          <t>Mie Ayam Bakso</t>
        </is>
      </c>
      <c r="J10" s="0" t="inlineStr"/>
      <c r="K10" s="0" t="inlineStr"/>
      <c r="L10" s="0" t="inlineStr"/>
      <c r="M10" s="0" t="inlineStr"/>
      <c r="N10" s="0" t="inlineStr"/>
      <c r="O10" s="0" t="n">
        <v>0</v>
      </c>
      <c r="P10" s="0" t="n">
        <v>0</v>
      </c>
      <c r="Q10" s="0" t="n">
        <v>0</v>
      </c>
      <c r="R10" s="0" t="inlineStr">
        <is>
          <t>Available</t>
        </is>
      </c>
      <c r="S10" s="0" t="inlineStr">
        <is>
          <t>Show</t>
        </is>
      </c>
      <c r="W10" s="0" t="inlineStr"/>
      <c r="X10" s="0" t="inlineStr"/>
      <c r="Z10" s="168" t="n"/>
      <c r="AA10" s="0" t="n">
        <v>25000</v>
      </c>
      <c r="AB10" s="0" t="n">
        <v>25000</v>
      </c>
      <c r="AC10" s="0" t="inlineStr"/>
      <c r="AG10" s="168" t="n"/>
      <c r="AI10" s="168" t="inlineStr"/>
      <c r="AK10" s="0" t="inlineStr"/>
      <c r="AM10" s="168" t="inlineStr"/>
      <c r="AO10" s="168" t="n"/>
      <c r="AP10" s="0" t="inlineStr"/>
    </row>
    <row r="11">
      <c r="A11" s="0" t="inlineStr">
        <is>
          <t>GoFood</t>
        </is>
      </c>
      <c r="B11" s="0" t="inlineStr">
        <is>
          <t>Superfood (test)</t>
        </is>
      </c>
      <c r="C11" s="0" t="inlineStr">
        <is>
          <t>F</t>
        </is>
      </c>
      <c r="D11" s="0" t="inlineStr">
        <is>
          <t>https://gofood.link/a/G828092803</t>
        </is>
      </c>
      <c r="E11" s="0" t="inlineStr">
        <is>
          <t>G828092803</t>
        </is>
      </c>
      <c r="F11" s="0" t="inlineStr">
        <is>
          <t>4074f907-d44b-47a1-88b6-72ad1824039c</t>
        </is>
      </c>
      <c r="G11" s="0" t="inlineStr">
        <is>
          <t>Mie &amp; Pasta</t>
        </is>
      </c>
      <c r="H11" s="0" t="inlineStr">
        <is>
          <t>0674317a-7436-40ff-9e08-789f1195e063</t>
        </is>
      </c>
      <c r="I11" s="0" t="inlineStr">
        <is>
          <t>Mie Ayam Original</t>
        </is>
      </c>
      <c r="J11" s="0" t="inlineStr"/>
      <c r="K11" s="0" t="inlineStr"/>
      <c r="L11" s="0" t="inlineStr"/>
      <c r="M11" s="0" t="inlineStr"/>
      <c r="N11" s="0" t="inlineStr"/>
      <c r="O11" s="0" t="n">
        <v>0</v>
      </c>
      <c r="P11" s="0" t="n">
        <v>0</v>
      </c>
      <c r="Q11" s="0" t="n">
        <v>0</v>
      </c>
      <c r="R11" s="0" t="inlineStr">
        <is>
          <t>Available</t>
        </is>
      </c>
      <c r="S11" s="0" t="inlineStr">
        <is>
          <t>Show</t>
        </is>
      </c>
      <c r="W11" s="0" t="inlineStr"/>
      <c r="X11" s="0" t="inlineStr"/>
      <c r="Z11" s="168" t="n"/>
      <c r="AA11" s="0" t="n">
        <v>23000</v>
      </c>
      <c r="AB11" s="0" t="n">
        <v>23000</v>
      </c>
      <c r="AC11" s="0" t="inlineStr"/>
      <c r="AG11" s="168" t="n"/>
      <c r="AI11" s="168" t="inlineStr"/>
      <c r="AK11" s="0" t="inlineStr"/>
      <c r="AM11" s="168" t="inlineStr"/>
      <c r="AO11" s="168" t="n"/>
      <c r="AP11" s="0" t="inlineStr"/>
    </row>
    <row r="12">
      <c r="A12" s="0" t="inlineStr">
        <is>
          <t>GoFood</t>
        </is>
      </c>
      <c r="B12" s="0" t="inlineStr">
        <is>
          <t>Superfood (test)</t>
        </is>
      </c>
      <c r="C12" s="0" t="inlineStr">
        <is>
          <t>F</t>
        </is>
      </c>
      <c r="D12" s="0" t="inlineStr">
        <is>
          <t>https://gofood.link/a/G828092803</t>
        </is>
      </c>
      <c r="E12" s="0" t="inlineStr">
        <is>
          <t>G828092803</t>
        </is>
      </c>
      <c r="F12" s="0" t="inlineStr">
        <is>
          <t>4074f907-d44b-47a1-88b6-72ad1824039c</t>
        </is>
      </c>
      <c r="G12" s="0" t="inlineStr">
        <is>
          <t>Mie &amp; Pasta</t>
        </is>
      </c>
      <c r="H12" s="0" t="inlineStr">
        <is>
          <t>34ab4d0d-9c21-4e37-bc91-cf2958d92ce6</t>
        </is>
      </c>
      <c r="I12" s="0" t="inlineStr">
        <is>
          <t>Mie Kuah Pangsit</t>
        </is>
      </c>
      <c r="J12" s="0" t="inlineStr"/>
      <c r="K12" s="0" t="inlineStr"/>
      <c r="L12" s="0" t="inlineStr"/>
      <c r="M12" s="0" t="inlineStr"/>
      <c r="N12" s="0" t="inlineStr"/>
      <c r="O12" s="0" t="n">
        <v>0</v>
      </c>
      <c r="P12" s="0" t="n">
        <v>0</v>
      </c>
      <c r="Q12" s="0" t="n">
        <v>0</v>
      </c>
      <c r="R12" s="0" t="inlineStr">
        <is>
          <t>Available</t>
        </is>
      </c>
      <c r="S12" s="0" t="inlineStr">
        <is>
          <t>Show</t>
        </is>
      </c>
      <c r="W12" s="0" t="inlineStr"/>
      <c r="X12" s="0" t="inlineStr"/>
      <c r="Z12" s="168" t="n"/>
      <c r="AA12" s="0" t="n">
        <v>25000</v>
      </c>
      <c r="AB12" s="0" t="n">
        <v>25000</v>
      </c>
      <c r="AC12" s="0" t="inlineStr"/>
      <c r="AG12" s="168" t="n"/>
      <c r="AI12" s="168" t="inlineStr"/>
      <c r="AK12" s="0" t="inlineStr"/>
      <c r="AM12" s="168" t="inlineStr"/>
      <c r="AO12" s="168" t="n"/>
      <c r="AP12" s="0" t="inlineStr"/>
    </row>
    <row r="13">
      <c r="A13" s="0" t="inlineStr">
        <is>
          <t>GoFood</t>
        </is>
      </c>
      <c r="B13" s="0" t="inlineStr">
        <is>
          <t>Superfood (test)</t>
        </is>
      </c>
      <c r="C13" s="0" t="inlineStr">
        <is>
          <t>F</t>
        </is>
      </c>
      <c r="D13" s="0" t="inlineStr">
        <is>
          <t>https://gofood.link/a/G828092803</t>
        </is>
      </c>
      <c r="E13" s="0" t="inlineStr">
        <is>
          <t>G828092803</t>
        </is>
      </c>
      <c r="F13" s="0" t="inlineStr">
        <is>
          <t>4074f907-d44b-47a1-88b6-72ad1824039c</t>
        </is>
      </c>
      <c r="G13" s="0" t="inlineStr">
        <is>
          <t>Mie &amp; Pasta</t>
        </is>
      </c>
      <c r="H13" s="0" t="inlineStr">
        <is>
          <t>6bb72e63-e6b9-4f8c-80b0-6340c50d541a</t>
        </is>
      </c>
      <c r="I13" s="0" t="inlineStr">
        <is>
          <t>Spaghetti Bolognese</t>
        </is>
      </c>
      <c r="J13" s="0" t="inlineStr"/>
      <c r="K13" s="0" t="inlineStr"/>
      <c r="L13" s="0" t="inlineStr"/>
      <c r="M13" s="0" t="inlineStr"/>
      <c r="N13" s="0" t="inlineStr"/>
      <c r="O13" s="0" t="n">
        <v>0</v>
      </c>
      <c r="P13" s="0" t="n">
        <v>0</v>
      </c>
      <c r="Q13" s="0" t="n">
        <v>0</v>
      </c>
      <c r="R13" s="0" t="inlineStr">
        <is>
          <t>Available</t>
        </is>
      </c>
      <c r="S13" s="0" t="inlineStr">
        <is>
          <t>Show</t>
        </is>
      </c>
      <c r="W13" s="0" t="inlineStr"/>
      <c r="X13" s="0" t="inlineStr"/>
      <c r="Z13" s="168" t="n"/>
      <c r="AA13" s="0" t="n">
        <v>33000</v>
      </c>
      <c r="AB13" s="0" t="n">
        <v>33000</v>
      </c>
      <c r="AC13" s="0" t="inlineStr"/>
      <c r="AG13" s="168" t="n"/>
      <c r="AI13" s="168" t="inlineStr"/>
      <c r="AK13" s="0" t="inlineStr"/>
      <c r="AM13" s="168" t="inlineStr"/>
      <c r="AO13" s="168" t="n"/>
      <c r="AP13" s="0" t="inlineStr"/>
    </row>
    <row r="14">
      <c r="A14" s="0" t="inlineStr">
        <is>
          <t>GoFood</t>
        </is>
      </c>
      <c r="B14" s="0" t="inlineStr">
        <is>
          <t>Superfood (test)</t>
        </is>
      </c>
      <c r="C14" s="0" t="inlineStr">
        <is>
          <t>F</t>
        </is>
      </c>
      <c r="D14" s="0" t="inlineStr">
        <is>
          <t>https://gofood.link/a/G828092803</t>
        </is>
      </c>
      <c r="E14" s="0" t="inlineStr">
        <is>
          <t>G828092803</t>
        </is>
      </c>
      <c r="F14" s="0" t="inlineStr">
        <is>
          <t>4074f907-d44b-47a1-88b6-72ad1824039c</t>
        </is>
      </c>
      <c r="G14" s="0" t="inlineStr">
        <is>
          <t>Mie &amp; Pasta</t>
        </is>
      </c>
      <c r="H14" s="0" t="inlineStr">
        <is>
          <t>b311df9f-94a4-4879-91be-f172fb7eda74</t>
        </is>
      </c>
      <c r="I14" s="0" t="inlineStr">
        <is>
          <t>Spaghetti Carbonara</t>
        </is>
      </c>
      <c r="J14" s="0" t="inlineStr"/>
      <c r="K14" s="0" t="inlineStr"/>
      <c r="L14" s="0" t="inlineStr"/>
      <c r="M14" s="0" t="inlineStr"/>
      <c r="N14" s="0" t="inlineStr"/>
      <c r="O14" s="0" t="n">
        <v>0</v>
      </c>
      <c r="P14" s="0" t="n">
        <v>0</v>
      </c>
      <c r="Q14" s="0" t="n">
        <v>0</v>
      </c>
      <c r="R14" s="0" t="inlineStr">
        <is>
          <t>Available</t>
        </is>
      </c>
      <c r="S14" s="0" t="inlineStr">
        <is>
          <t>Show</t>
        </is>
      </c>
      <c r="W14" s="0" t="inlineStr"/>
      <c r="X14" s="0" t="inlineStr"/>
      <c r="Z14" s="168" t="n"/>
      <c r="AA14" s="0" t="n">
        <v>35000</v>
      </c>
      <c r="AB14" s="0" t="n">
        <v>35000</v>
      </c>
      <c r="AC14" s="0" t="inlineStr"/>
      <c r="AG14" s="168" t="n"/>
      <c r="AI14" s="168" t="inlineStr"/>
      <c r="AK14" s="0" t="inlineStr"/>
      <c r="AM14" s="168" t="inlineStr"/>
      <c r="AO14" s="168" t="n"/>
      <c r="AP14" s="0" t="inlineStr"/>
    </row>
    <row r="15">
      <c r="A15" s="0" t="inlineStr">
        <is>
          <t>GoFood</t>
        </is>
      </c>
      <c r="B15" s="0" t="inlineStr">
        <is>
          <t>Superfood (test)</t>
        </is>
      </c>
      <c r="C15" s="0" t="inlineStr">
        <is>
          <t>F</t>
        </is>
      </c>
      <c r="D15" s="0" t="inlineStr">
        <is>
          <t>https://gofood.link/a/G828092803</t>
        </is>
      </c>
      <c r="E15" s="0" t="inlineStr">
        <is>
          <t>G828092803</t>
        </is>
      </c>
      <c r="F15" s="0" t="inlineStr">
        <is>
          <t>4074f907-d44b-47a1-88b6-72ad1824039c</t>
        </is>
      </c>
      <c r="G15" s="0" t="inlineStr">
        <is>
          <t>Mie &amp; Pasta</t>
        </is>
      </c>
      <c r="H15" s="0" t="inlineStr">
        <is>
          <t>6f3b0456-789c-4b40-9851-cbddc60723ec</t>
        </is>
      </c>
      <c r="I15" s="0" t="inlineStr">
        <is>
          <t>Spaghetti Aglio Olio</t>
        </is>
      </c>
      <c r="J15" s="0" t="inlineStr"/>
      <c r="K15" s="0" t="inlineStr"/>
      <c r="L15" s="0" t="inlineStr"/>
      <c r="M15" s="0" t="inlineStr"/>
      <c r="N15" s="0" t="inlineStr"/>
      <c r="O15" s="0" t="n">
        <v>0</v>
      </c>
      <c r="P15" s="0" t="n">
        <v>0</v>
      </c>
      <c r="Q15" s="0" t="n">
        <v>0</v>
      </c>
      <c r="R15" s="0" t="inlineStr">
        <is>
          <t>Available</t>
        </is>
      </c>
      <c r="S15" s="0" t="inlineStr">
        <is>
          <t>Show</t>
        </is>
      </c>
      <c r="W15" s="0" t="inlineStr"/>
      <c r="X15" s="0" t="inlineStr"/>
      <c r="Z15" s="168" t="n"/>
      <c r="AA15" s="0" t="n">
        <v>30000</v>
      </c>
      <c r="AB15" s="0" t="n">
        <v>30000</v>
      </c>
      <c r="AC15" s="0" t="inlineStr"/>
      <c r="AG15" s="168" t="n"/>
      <c r="AI15" s="168" t="inlineStr"/>
      <c r="AK15" s="0" t="inlineStr"/>
      <c r="AM15" s="168" t="inlineStr"/>
      <c r="AO15" s="168" t="n"/>
      <c r="AP15" s="0" t="inlineStr"/>
    </row>
    <row r="16">
      <c r="A16" s="0" t="inlineStr">
        <is>
          <t>GoFood</t>
        </is>
      </c>
      <c r="B16" s="0" t="inlineStr">
        <is>
          <t>Superfood (test)</t>
        </is>
      </c>
      <c r="C16" s="0" t="inlineStr">
        <is>
          <t>F</t>
        </is>
      </c>
      <c r="D16" s="0" t="inlineStr">
        <is>
          <t>https://gofood.link/a/G828092803</t>
        </is>
      </c>
      <c r="E16" s="0" t="inlineStr">
        <is>
          <t>G828092803</t>
        </is>
      </c>
      <c r="F16" s="0" t="inlineStr">
        <is>
          <t>4074f907-d44b-47a1-88b6-72ad1824039c</t>
        </is>
      </c>
      <c r="G16" s="0" t="inlineStr">
        <is>
          <t>Mie &amp; Pasta</t>
        </is>
      </c>
      <c r="H16" s="0" t="inlineStr">
        <is>
          <t>7dae9400-e252-4938-aa69-8355a7831ed0</t>
        </is>
      </c>
      <c r="I16" s="0" t="inlineStr">
        <is>
          <t>Kwetiau Goreng</t>
        </is>
      </c>
      <c r="J16" s="0" t="inlineStr"/>
      <c r="K16" s="0" t="inlineStr"/>
      <c r="L16" s="0" t="inlineStr"/>
      <c r="M16" s="0" t="inlineStr"/>
      <c r="N16" s="0" t="inlineStr"/>
      <c r="O16" s="0" t="n">
        <v>0</v>
      </c>
      <c r="P16" s="0" t="n">
        <v>0</v>
      </c>
      <c r="Q16" s="0" t="n">
        <v>0</v>
      </c>
      <c r="R16" s="0" t="inlineStr">
        <is>
          <t>Available</t>
        </is>
      </c>
      <c r="S16" s="0" t="inlineStr">
        <is>
          <t>Show</t>
        </is>
      </c>
      <c r="W16" s="0" t="inlineStr"/>
      <c r="X16" s="0" t="inlineStr"/>
      <c r="Z16" s="168" t="n"/>
      <c r="AA16" s="0" t="n">
        <v>27000</v>
      </c>
      <c r="AB16" s="0" t="n">
        <v>27000</v>
      </c>
      <c r="AC16" s="0" t="inlineStr"/>
      <c r="AG16" s="168" t="n"/>
      <c r="AI16" s="168" t="inlineStr"/>
      <c r="AK16" s="0" t="inlineStr"/>
      <c r="AM16" s="168" t="inlineStr"/>
      <c r="AO16" s="168" t="n"/>
      <c r="AP16" s="0" t="inlineStr"/>
    </row>
    <row r="17">
      <c r="A17" s="0" t="inlineStr">
        <is>
          <t>GoFood</t>
        </is>
      </c>
      <c r="B17" s="0" t="inlineStr">
        <is>
          <t>Superfood (test)</t>
        </is>
      </c>
      <c r="C17" s="0" t="inlineStr">
        <is>
          <t>F</t>
        </is>
      </c>
      <c r="D17" s="0" t="inlineStr">
        <is>
          <t>https://gofood.link/a/G828092803</t>
        </is>
      </c>
      <c r="E17" s="0" t="inlineStr">
        <is>
          <t>G828092803</t>
        </is>
      </c>
      <c r="F17" s="0" t="inlineStr">
        <is>
          <t>4074f907-d44b-47a1-88b6-72ad1824039c</t>
        </is>
      </c>
      <c r="G17" s="0" t="inlineStr">
        <is>
          <t>Mie &amp; Pasta</t>
        </is>
      </c>
      <c r="H17" s="0" t="inlineStr">
        <is>
          <t>8706d86c-be1b-4874-9256-6d4e96e5260c</t>
        </is>
      </c>
      <c r="I17" s="0" t="inlineStr">
        <is>
          <t>Bihun Goreng</t>
        </is>
      </c>
      <c r="J17" s="0" t="inlineStr"/>
      <c r="K17" s="0" t="inlineStr"/>
      <c r="L17" s="0" t="inlineStr"/>
      <c r="M17" s="0" t="inlineStr"/>
      <c r="N17" s="0" t="inlineStr"/>
      <c r="O17" s="0" t="n">
        <v>0</v>
      </c>
      <c r="P17" s="0" t="n">
        <v>0</v>
      </c>
      <c r="Q17" s="0" t="n">
        <v>0</v>
      </c>
      <c r="R17" s="0" t="inlineStr">
        <is>
          <t>Available</t>
        </is>
      </c>
      <c r="S17" s="0" t="inlineStr">
        <is>
          <t>Show</t>
        </is>
      </c>
      <c r="W17" s="0" t="inlineStr"/>
      <c r="X17" s="0" t="inlineStr"/>
      <c r="Z17" s="168" t="n"/>
      <c r="AA17" s="0" t="n">
        <v>25000</v>
      </c>
      <c r="AB17" s="0" t="n">
        <v>25000</v>
      </c>
      <c r="AC17" s="0" t="inlineStr"/>
      <c r="AG17" s="168" t="n"/>
      <c r="AI17" s="168" t="inlineStr"/>
      <c r="AK17" s="0" t="inlineStr"/>
      <c r="AM17" s="168" t="inlineStr"/>
      <c r="AO17" s="168" t="n"/>
      <c r="AP17" s="0" t="inlineStr"/>
    </row>
    <row r="18">
      <c r="A18" s="0" t="inlineStr">
        <is>
          <t>GoFood</t>
        </is>
      </c>
      <c r="B18" s="0" t="inlineStr">
        <is>
          <t>Superfood (test)</t>
        </is>
      </c>
      <c r="C18" s="0" t="inlineStr">
        <is>
          <t>F</t>
        </is>
      </c>
      <c r="D18" s="0" t="inlineStr">
        <is>
          <t>https://gofood.link/a/G828092803</t>
        </is>
      </c>
      <c r="E18" s="0" t="inlineStr">
        <is>
          <t>G828092803</t>
        </is>
      </c>
      <c r="F18" s="0" t="inlineStr">
        <is>
          <t>4074f907-d44b-47a1-88b6-72ad1824039c</t>
        </is>
      </c>
      <c r="G18" s="0" t="inlineStr">
        <is>
          <t>Mie &amp; Pasta</t>
        </is>
      </c>
      <c r="H18" s="0" t="inlineStr">
        <is>
          <t>9c6db9de-55f8-488b-8ff0-c8b5753bcb93</t>
        </is>
      </c>
      <c r="I18" s="0" t="inlineStr">
        <is>
          <t>Yamin Ayam</t>
        </is>
      </c>
      <c r="J18" s="0" t="inlineStr"/>
      <c r="K18" s="0" t="inlineStr"/>
      <c r="L18" s="0" t="inlineStr"/>
      <c r="M18" s="0" t="inlineStr"/>
      <c r="N18" s="0" t="inlineStr"/>
      <c r="O18" s="0" t="n">
        <v>0</v>
      </c>
      <c r="P18" s="0" t="n">
        <v>0</v>
      </c>
      <c r="Q18" s="0" t="n">
        <v>0</v>
      </c>
      <c r="R18" s="0" t="inlineStr">
        <is>
          <t>Available</t>
        </is>
      </c>
      <c r="S18" s="0" t="inlineStr">
        <is>
          <t>Show</t>
        </is>
      </c>
      <c r="W18" s="0" t="inlineStr"/>
      <c r="X18" s="0" t="inlineStr"/>
      <c r="Z18" s="168" t="n"/>
      <c r="AA18" s="0" t="n">
        <v>24000</v>
      </c>
      <c r="AB18" s="0" t="n">
        <v>24000</v>
      </c>
      <c r="AC18" s="0" t="inlineStr"/>
      <c r="AG18" s="168" t="n"/>
      <c r="AI18" s="168" t="inlineStr"/>
      <c r="AK18" s="0" t="inlineStr"/>
      <c r="AM18" s="168" t="inlineStr"/>
      <c r="AO18" s="168" t="n"/>
      <c r="AP18" s="0" t="inlineStr"/>
    </row>
    <row r="19">
      <c r="A19" s="0" t="inlineStr">
        <is>
          <t>GoFood</t>
        </is>
      </c>
      <c r="B19" s="0" t="inlineStr">
        <is>
          <t>Superfood (test)</t>
        </is>
      </c>
      <c r="C19" s="0" t="inlineStr">
        <is>
          <t>F</t>
        </is>
      </c>
      <c r="D19" s="0" t="inlineStr">
        <is>
          <t>https://gofood.link/a/G828092803</t>
        </is>
      </c>
      <c r="E19" s="0" t="inlineStr">
        <is>
          <t>G828092803</t>
        </is>
      </c>
      <c r="F19" s="0" t="inlineStr">
        <is>
          <t>afbf8b00-3bb0-4215-a918-b7a55894e933</t>
        </is>
      </c>
      <c r="G19" s="0" t="inlineStr">
        <is>
          <t>Sate</t>
        </is>
      </c>
      <c r="H19" s="0" t="inlineStr">
        <is>
          <t>17a1b24a-cd91-4592-ab74-921668ad9975</t>
        </is>
      </c>
      <c r="I19" s="0" t="inlineStr">
        <is>
          <t>Sate Ayam</t>
        </is>
      </c>
      <c r="J19" s="0" t="inlineStr"/>
      <c r="K19" s="0" t="inlineStr"/>
      <c r="L19" s="0" t="inlineStr"/>
      <c r="M19" s="0" t="inlineStr"/>
      <c r="N19" s="0" t="inlineStr"/>
      <c r="O19" s="0" t="n">
        <v>0</v>
      </c>
      <c r="P19" s="0" t="n">
        <v>0</v>
      </c>
      <c r="Q19" s="0" t="n">
        <v>0</v>
      </c>
      <c r="R19" s="0" t="inlineStr">
        <is>
          <t>Available</t>
        </is>
      </c>
      <c r="S19" s="0" t="inlineStr">
        <is>
          <t>Show</t>
        </is>
      </c>
      <c r="W19" s="0" t="inlineStr"/>
      <c r="X19" s="0" t="inlineStr"/>
      <c r="Z19" s="168" t="n"/>
      <c r="AA19" s="0" t="n">
        <v>27000</v>
      </c>
      <c r="AB19" s="0" t="n">
        <v>27000</v>
      </c>
      <c r="AC19" s="0" t="inlineStr"/>
      <c r="AG19" s="168" t="n"/>
      <c r="AI19" s="168" t="inlineStr"/>
      <c r="AK19" s="0" t="inlineStr"/>
      <c r="AM19" s="168" t="inlineStr"/>
      <c r="AO19" s="168" t="n"/>
      <c r="AP19" s="0" t="inlineStr"/>
    </row>
    <row r="20">
      <c r="A20" s="0" t="inlineStr">
        <is>
          <t>GoFood</t>
        </is>
      </c>
      <c r="B20" s="0" t="inlineStr">
        <is>
          <t>Superfood (test)</t>
        </is>
      </c>
      <c r="C20" s="0" t="inlineStr">
        <is>
          <t>F</t>
        </is>
      </c>
      <c r="D20" s="0" t="inlineStr">
        <is>
          <t>https://gofood.link/a/G828092803</t>
        </is>
      </c>
      <c r="E20" s="0" t="inlineStr">
        <is>
          <t>G828092803</t>
        </is>
      </c>
      <c r="F20" s="0" t="inlineStr">
        <is>
          <t>afbf8b00-3bb0-4215-a918-b7a55894e933</t>
        </is>
      </c>
      <c r="G20" s="0" t="inlineStr">
        <is>
          <t>Sate</t>
        </is>
      </c>
      <c r="H20" s="0" t="inlineStr">
        <is>
          <t>73bd86db-3cd7-4206-bf0a-aa4083589dee</t>
        </is>
      </c>
      <c r="I20" s="0" t="inlineStr">
        <is>
          <t>Sate Kambing</t>
        </is>
      </c>
      <c r="J20" s="0" t="inlineStr"/>
      <c r="K20" s="0" t="inlineStr"/>
      <c r="L20" s="0" t="inlineStr"/>
      <c r="M20" s="0" t="inlineStr"/>
      <c r="N20" s="0" t="inlineStr"/>
      <c r="O20" s="0" t="n">
        <v>0</v>
      </c>
      <c r="P20" s="0" t="n">
        <v>0</v>
      </c>
      <c r="Q20" s="0" t="n">
        <v>0</v>
      </c>
      <c r="R20" s="0" t="inlineStr">
        <is>
          <t>Available</t>
        </is>
      </c>
      <c r="S20" s="0" t="inlineStr">
        <is>
          <t>Show</t>
        </is>
      </c>
      <c r="W20" s="0" t="inlineStr"/>
      <c r="X20" s="0" t="inlineStr"/>
      <c r="Z20" s="168" t="n"/>
      <c r="AA20" s="0" t="n">
        <v>37000</v>
      </c>
      <c r="AB20" s="0" t="n">
        <v>37000</v>
      </c>
      <c r="AC20" s="0" t="inlineStr"/>
      <c r="AG20" s="168" t="n"/>
      <c r="AI20" s="168" t="inlineStr"/>
      <c r="AK20" s="0" t="inlineStr"/>
      <c r="AM20" s="168" t="inlineStr"/>
      <c r="AO20" s="168" t="n"/>
      <c r="AP20" s="0" t="inlineStr"/>
    </row>
    <row r="21">
      <c r="A21" s="0" t="inlineStr">
        <is>
          <t>GoFood</t>
        </is>
      </c>
      <c r="B21" s="0" t="inlineStr">
        <is>
          <t>Superfood (test)</t>
        </is>
      </c>
      <c r="C21" s="0" t="inlineStr">
        <is>
          <t>F</t>
        </is>
      </c>
      <c r="D21" s="0" t="inlineStr">
        <is>
          <t>https://gofood.link/a/G828092803</t>
        </is>
      </c>
      <c r="E21" s="0" t="inlineStr">
        <is>
          <t>G828092803</t>
        </is>
      </c>
      <c r="F21" s="0" t="inlineStr">
        <is>
          <t>afbf8b00-3bb0-4215-a918-b7a55894e933</t>
        </is>
      </c>
      <c r="G21" s="0" t="inlineStr">
        <is>
          <t>Sate</t>
        </is>
      </c>
      <c r="H21" s="0" t="inlineStr">
        <is>
          <t>9847ee4f-4880-43df-8253-68da76cefaf3</t>
        </is>
      </c>
      <c r="I21" s="0" t="inlineStr">
        <is>
          <t>Sate Sapi</t>
        </is>
      </c>
      <c r="J21" s="0" t="inlineStr"/>
      <c r="K21" s="0" t="inlineStr"/>
      <c r="L21" s="0" t="inlineStr"/>
      <c r="M21" s="0" t="inlineStr"/>
      <c r="N21" s="0" t="inlineStr"/>
      <c r="O21" s="0" t="n">
        <v>0</v>
      </c>
      <c r="P21" s="0" t="n">
        <v>0</v>
      </c>
      <c r="Q21" s="0" t="n">
        <v>0</v>
      </c>
      <c r="R21" s="0" t="inlineStr">
        <is>
          <t>Available</t>
        </is>
      </c>
      <c r="S21" s="0" t="inlineStr">
        <is>
          <t>Show</t>
        </is>
      </c>
      <c r="W21" s="0" t="inlineStr"/>
      <c r="X21" s="0" t="inlineStr"/>
      <c r="Z21" s="168" t="n"/>
      <c r="AA21" s="0" t="n">
        <v>35000</v>
      </c>
      <c r="AB21" s="0" t="n">
        <v>35000</v>
      </c>
      <c r="AC21" s="0" t="inlineStr"/>
      <c r="AG21" s="168" t="n"/>
      <c r="AI21" s="168" t="inlineStr"/>
      <c r="AK21" s="0" t="inlineStr"/>
      <c r="AM21" s="168" t="inlineStr"/>
      <c r="AO21" s="168" t="n"/>
      <c r="AP21" s="0" t="inlineStr"/>
    </row>
    <row r="22">
      <c r="A22" s="0" t="inlineStr">
        <is>
          <t>GoFood</t>
        </is>
      </c>
      <c r="B22" s="0" t="inlineStr">
        <is>
          <t>Superfood (test)</t>
        </is>
      </c>
      <c r="C22" s="0" t="inlineStr">
        <is>
          <t>F</t>
        </is>
      </c>
      <c r="D22" s="0" t="inlineStr">
        <is>
          <t>https://gofood.link/a/G828092803</t>
        </is>
      </c>
      <c r="E22" s="0" t="inlineStr">
        <is>
          <t>G828092803</t>
        </is>
      </c>
      <c r="F22" s="0" t="inlineStr">
        <is>
          <t>afbf8b00-3bb0-4215-a918-b7a55894e933</t>
        </is>
      </c>
      <c r="G22" s="0" t="inlineStr">
        <is>
          <t>Sate</t>
        </is>
      </c>
      <c r="H22" s="0" t="inlineStr">
        <is>
          <t>ff9dc21c-7876-4619-a44d-c649e51684aa</t>
        </is>
      </c>
      <c r="I22" s="0" t="inlineStr">
        <is>
          <t>Sate Padang</t>
        </is>
      </c>
      <c r="J22" s="0" t="inlineStr"/>
      <c r="K22" s="0" t="inlineStr"/>
      <c r="L22" s="0" t="inlineStr"/>
      <c r="M22" s="0" t="inlineStr"/>
      <c r="N22" s="0" t="inlineStr"/>
      <c r="O22" s="0" t="n">
        <v>0</v>
      </c>
      <c r="P22" s="0" t="n">
        <v>0</v>
      </c>
      <c r="Q22" s="0" t="n">
        <v>0</v>
      </c>
      <c r="R22" s="0" t="inlineStr">
        <is>
          <t>Available</t>
        </is>
      </c>
      <c r="S22" s="0" t="inlineStr">
        <is>
          <t>Show</t>
        </is>
      </c>
      <c r="W22" s="0" t="inlineStr"/>
      <c r="X22" s="0" t="inlineStr"/>
      <c r="Z22" s="168" t="n"/>
      <c r="AA22" s="0" t="n">
        <v>29000</v>
      </c>
      <c r="AB22" s="0" t="n">
        <v>29000</v>
      </c>
      <c r="AC22" s="0" t="inlineStr"/>
      <c r="AG22" s="168" t="n"/>
      <c r="AI22" s="168" t="inlineStr"/>
      <c r="AK22" s="0" t="inlineStr"/>
      <c r="AM22" s="168" t="inlineStr"/>
      <c r="AO22" s="168" t="n"/>
      <c r="AP22" s="0" t="inlineStr"/>
    </row>
    <row r="23">
      <c r="A23" s="0" t="inlineStr">
        <is>
          <t>GoFood</t>
        </is>
      </c>
      <c r="B23" s="0" t="inlineStr">
        <is>
          <t>Superfood (test)</t>
        </is>
      </c>
      <c r="C23" s="0" t="inlineStr">
        <is>
          <t>F</t>
        </is>
      </c>
      <c r="D23" s="0" t="inlineStr">
        <is>
          <t>https://gofood.link/a/G828092803</t>
        </is>
      </c>
      <c r="E23" s="0" t="inlineStr">
        <is>
          <t>G828092803</t>
        </is>
      </c>
      <c r="F23" s="0" t="inlineStr">
        <is>
          <t>afbf8b00-3bb0-4215-a918-b7a55894e933</t>
        </is>
      </c>
      <c r="G23" s="0" t="inlineStr">
        <is>
          <t>Sate</t>
        </is>
      </c>
      <c r="H23" s="0" t="inlineStr">
        <is>
          <t>56e0d433-80e1-4abf-836b-d3e646a3972d</t>
        </is>
      </c>
      <c r="I23" s="0" t="inlineStr">
        <is>
          <t>Sate Maranggi</t>
        </is>
      </c>
      <c r="J23" s="0" t="inlineStr"/>
      <c r="K23" s="0" t="inlineStr"/>
      <c r="L23" s="0" t="inlineStr"/>
      <c r="M23" s="0" t="inlineStr"/>
      <c r="N23" s="0" t="inlineStr"/>
      <c r="O23" s="0" t="n">
        <v>0</v>
      </c>
      <c r="P23" s="0" t="n">
        <v>0</v>
      </c>
      <c r="Q23" s="0" t="n">
        <v>0</v>
      </c>
      <c r="R23" s="0" t="inlineStr">
        <is>
          <t>Available</t>
        </is>
      </c>
      <c r="S23" s="0" t="inlineStr">
        <is>
          <t>Show</t>
        </is>
      </c>
      <c r="W23" s="0" t="inlineStr"/>
      <c r="X23" s="0" t="inlineStr"/>
      <c r="Z23" s="168" t="n"/>
      <c r="AA23" s="0" t="n">
        <v>32000</v>
      </c>
      <c r="AB23" s="0" t="n">
        <v>32000</v>
      </c>
      <c r="AC23" s="0" t="inlineStr"/>
      <c r="AG23" s="168" t="n"/>
      <c r="AI23" s="168" t="inlineStr"/>
      <c r="AK23" s="0" t="inlineStr"/>
      <c r="AM23" s="168" t="inlineStr"/>
      <c r="AO23" s="168" t="n"/>
      <c r="AP23" s="0" t="inlineStr"/>
    </row>
    <row r="24">
      <c r="A24" s="0" t="inlineStr">
        <is>
          <t>GoFood</t>
        </is>
      </c>
      <c r="B24" s="0" t="inlineStr">
        <is>
          <t>Superfood (test)</t>
        </is>
      </c>
      <c r="C24" s="0" t="inlineStr">
        <is>
          <t>F</t>
        </is>
      </c>
      <c r="D24" s="0" t="inlineStr">
        <is>
          <t>https://gofood.link/a/G828092803</t>
        </is>
      </c>
      <c r="E24" s="0" t="inlineStr">
        <is>
          <t>G828092803</t>
        </is>
      </c>
      <c r="F24" s="0" t="inlineStr">
        <is>
          <t>afbf8b00-3bb0-4215-a918-b7a55894e933</t>
        </is>
      </c>
      <c r="G24" s="0" t="inlineStr">
        <is>
          <t>Sate</t>
        </is>
      </c>
      <c r="H24" s="0" t="inlineStr">
        <is>
          <t>665b51a8-3c72-4af3-8ffd-63600a2f18fc</t>
        </is>
      </c>
      <c r="I24" s="0" t="inlineStr">
        <is>
          <t>Sate Lilit</t>
        </is>
      </c>
      <c r="J24" s="0" t="inlineStr"/>
      <c r="K24" s="0" t="inlineStr"/>
      <c r="L24" s="0" t="inlineStr"/>
      <c r="M24" s="0" t="inlineStr"/>
      <c r="N24" s="0" t="inlineStr"/>
      <c r="O24" s="0" t="n">
        <v>0</v>
      </c>
      <c r="P24" s="0" t="n">
        <v>0</v>
      </c>
      <c r="Q24" s="0" t="n">
        <v>0</v>
      </c>
      <c r="R24" s="0" t="inlineStr">
        <is>
          <t>Available</t>
        </is>
      </c>
      <c r="S24" s="0" t="inlineStr">
        <is>
          <t>Show</t>
        </is>
      </c>
      <c r="W24" s="0" t="inlineStr"/>
      <c r="X24" s="0" t="inlineStr"/>
      <c r="Z24" s="168" t="n"/>
      <c r="AA24" s="0" t="n">
        <v>32000</v>
      </c>
      <c r="AB24" s="0" t="n">
        <v>32000</v>
      </c>
      <c r="AC24" s="0" t="inlineStr"/>
      <c r="AG24" s="168" t="n"/>
      <c r="AI24" s="168" t="inlineStr"/>
      <c r="AK24" s="0" t="inlineStr"/>
      <c r="AM24" s="168" t="inlineStr"/>
      <c r="AO24" s="168" t="n"/>
      <c r="AP24" s="0" t="inlineStr"/>
    </row>
    <row r="25">
      <c r="A25" s="0" t="inlineStr">
        <is>
          <t>GoFood</t>
        </is>
      </c>
      <c r="B25" s="0" t="inlineStr">
        <is>
          <t>Superfood (test)</t>
        </is>
      </c>
      <c r="C25" s="0" t="inlineStr">
        <is>
          <t>F</t>
        </is>
      </c>
      <c r="D25" s="0" t="inlineStr">
        <is>
          <t>https://gofood.link/a/G828092803</t>
        </is>
      </c>
      <c r="E25" s="0" t="inlineStr">
        <is>
          <t>G828092803</t>
        </is>
      </c>
      <c r="F25" s="0" t="inlineStr">
        <is>
          <t>f07ad5ef-9343-4f22-a587-8201b1279f5f</t>
        </is>
      </c>
      <c r="G25" s="0" t="inlineStr">
        <is>
          <t>Es Krim</t>
        </is>
      </c>
      <c r="H25" s="0" t="inlineStr">
        <is>
          <t>73417e4b-d1fe-4ffd-9a11-7e2ef93b27a6</t>
        </is>
      </c>
      <c r="I25" s="0" t="inlineStr">
        <is>
          <t>Es Krim Stroberi</t>
        </is>
      </c>
      <c r="J25" s="0" t="inlineStr"/>
      <c r="K25" s="0" t="inlineStr"/>
      <c r="L25" s="0" t="inlineStr"/>
      <c r="M25" s="0" t="inlineStr"/>
      <c r="N25" s="0" t="inlineStr"/>
      <c r="O25" s="0" t="n">
        <v>0</v>
      </c>
      <c r="P25" s="0" t="n">
        <v>0</v>
      </c>
      <c r="Q25" s="0" t="n">
        <v>0</v>
      </c>
      <c r="R25" s="0" t="inlineStr">
        <is>
          <t>Available</t>
        </is>
      </c>
      <c r="S25" s="0" t="inlineStr">
        <is>
          <t>Show</t>
        </is>
      </c>
      <c r="W25" s="0" t="inlineStr"/>
      <c r="X25" s="0" t="inlineStr"/>
      <c r="Z25" s="168" t="n"/>
      <c r="AA25" s="0" t="n">
        <v>19000</v>
      </c>
      <c r="AB25" s="0" t="n">
        <v>19000</v>
      </c>
      <c r="AC25" s="0" t="inlineStr"/>
      <c r="AG25" s="168" t="n"/>
      <c r="AI25" s="168" t="inlineStr"/>
      <c r="AK25" s="0" t="inlineStr"/>
      <c r="AM25" s="168" t="inlineStr"/>
      <c r="AO25" s="168" t="n"/>
      <c r="AP25" s="0" t="inlineStr"/>
    </row>
    <row r="26">
      <c r="A26" s="0" t="inlineStr">
        <is>
          <t>GoFood</t>
        </is>
      </c>
      <c r="B26" s="0" t="inlineStr">
        <is>
          <t>Superfood (test)</t>
        </is>
      </c>
      <c r="C26" s="0" t="inlineStr">
        <is>
          <t>F</t>
        </is>
      </c>
      <c r="D26" s="0" t="inlineStr">
        <is>
          <t>https://gofood.link/a/G828092803</t>
        </is>
      </c>
      <c r="E26" s="0" t="inlineStr">
        <is>
          <t>G828092803</t>
        </is>
      </c>
      <c r="F26" s="0" t="inlineStr">
        <is>
          <t>f07ad5ef-9343-4f22-a587-8201b1279f5f</t>
        </is>
      </c>
      <c r="G26" s="0" t="inlineStr">
        <is>
          <t>Es Krim</t>
        </is>
      </c>
      <c r="H26" s="0" t="inlineStr">
        <is>
          <t>b032fb90-8d03-45f9-b32b-09bc2ea129e0</t>
        </is>
      </c>
      <c r="I26" s="0" t="inlineStr">
        <is>
          <t>Es Krim Kacang</t>
        </is>
      </c>
      <c r="J26" s="0" t="inlineStr"/>
      <c r="K26" s="0" t="inlineStr"/>
      <c r="L26" s="0" t="inlineStr"/>
      <c r="M26" s="0" t="inlineStr"/>
      <c r="N26" s="0" t="inlineStr"/>
      <c r="O26" s="0" t="n">
        <v>0</v>
      </c>
      <c r="P26" s="0" t="n">
        <v>0</v>
      </c>
      <c r="Q26" s="0" t="n">
        <v>0</v>
      </c>
      <c r="R26" s="0" t="inlineStr">
        <is>
          <t>Available</t>
        </is>
      </c>
      <c r="S26" s="0" t="inlineStr">
        <is>
          <t>Show</t>
        </is>
      </c>
      <c r="W26" s="0" t="inlineStr"/>
      <c r="X26" s="0" t="inlineStr"/>
      <c r="Z26" s="168" t="n"/>
      <c r="AA26" s="0" t="n">
        <v>19000</v>
      </c>
      <c r="AB26" s="0" t="n">
        <v>19000</v>
      </c>
      <c r="AC26" s="0" t="inlineStr"/>
      <c r="AG26" s="168" t="n"/>
      <c r="AI26" s="168" t="inlineStr"/>
      <c r="AK26" s="0" t="inlineStr"/>
      <c r="AM26" s="168" t="inlineStr"/>
      <c r="AO26" s="168" t="n"/>
      <c r="AP26" s="0" t="inlineStr"/>
    </row>
    <row r="27">
      <c r="A27" s="0" t="inlineStr">
        <is>
          <t>GoFood</t>
        </is>
      </c>
      <c r="B27" s="0" t="inlineStr">
        <is>
          <t>Superfood (test)</t>
        </is>
      </c>
      <c r="C27" s="0" t="inlineStr">
        <is>
          <t>F</t>
        </is>
      </c>
      <c r="D27" s="0" t="inlineStr">
        <is>
          <t>https://gofood.link/a/G828092803</t>
        </is>
      </c>
      <c r="E27" s="0" t="inlineStr">
        <is>
          <t>G828092803</t>
        </is>
      </c>
      <c r="F27" s="0" t="inlineStr">
        <is>
          <t>f07ad5ef-9343-4f22-a587-8201b1279f5f</t>
        </is>
      </c>
      <c r="G27" s="0" t="inlineStr">
        <is>
          <t>Es Krim</t>
        </is>
      </c>
      <c r="H27" s="0" t="inlineStr">
        <is>
          <t>84ed7641-1642-4ecb-bdd3-a5217e7b083c</t>
        </is>
      </c>
      <c r="I27" s="0" t="inlineStr">
        <is>
          <t>Es Krim Rum Raisin</t>
        </is>
      </c>
      <c r="J27" s="0" t="inlineStr"/>
      <c r="K27" s="0" t="inlineStr"/>
      <c r="L27" s="0" t="inlineStr"/>
      <c r="M27" s="0" t="inlineStr"/>
      <c r="N27" s="0" t="inlineStr"/>
      <c r="O27" s="0" t="n">
        <v>0</v>
      </c>
      <c r="P27" s="0" t="n">
        <v>0</v>
      </c>
      <c r="Q27" s="0" t="n">
        <v>0</v>
      </c>
      <c r="R27" s="0" t="inlineStr">
        <is>
          <t>Available</t>
        </is>
      </c>
      <c r="S27" s="0" t="inlineStr">
        <is>
          <t>Show</t>
        </is>
      </c>
      <c r="W27" s="0" t="inlineStr"/>
      <c r="X27" s="0" t="inlineStr"/>
      <c r="Z27" s="168" t="n"/>
      <c r="AA27" s="0" t="n">
        <v>22000</v>
      </c>
      <c r="AB27" s="0" t="n">
        <v>22000</v>
      </c>
      <c r="AC27" s="0" t="inlineStr"/>
      <c r="AG27" s="168" t="n"/>
      <c r="AI27" s="168" t="inlineStr"/>
      <c r="AK27" s="0" t="inlineStr"/>
      <c r="AM27" s="168" t="inlineStr"/>
      <c r="AO27" s="168" t="n"/>
      <c r="AP27" s="0" t="inlineStr"/>
    </row>
    <row r="28">
      <c r="A28" s="0" t="inlineStr">
        <is>
          <t>GoFood</t>
        </is>
      </c>
      <c r="B28" s="0" t="inlineStr">
        <is>
          <t>Superfood (test)</t>
        </is>
      </c>
      <c r="C28" s="0" t="inlineStr">
        <is>
          <t>F</t>
        </is>
      </c>
      <c r="D28" s="0" t="inlineStr">
        <is>
          <t>https://gofood.link/a/G828092803</t>
        </is>
      </c>
      <c r="E28" s="0" t="inlineStr">
        <is>
          <t>G828092803</t>
        </is>
      </c>
      <c r="F28" s="0" t="inlineStr">
        <is>
          <t>f07ad5ef-9343-4f22-a587-8201b1279f5f</t>
        </is>
      </c>
      <c r="G28" s="0" t="inlineStr">
        <is>
          <t>Es Krim</t>
        </is>
      </c>
      <c r="H28" s="0" t="inlineStr">
        <is>
          <t>3940ff83-3c9b-44df-87ad-39a041d39364</t>
        </is>
      </c>
      <c r="I28" s="0" t="inlineStr">
        <is>
          <t>Es Krim Mint Coklat</t>
        </is>
      </c>
      <c r="J28" s="0" t="inlineStr"/>
      <c r="K28" s="0" t="inlineStr"/>
      <c r="L28" s="0" t="inlineStr"/>
      <c r="M28" s="0" t="inlineStr"/>
      <c r="N28" s="0" t="inlineStr"/>
      <c r="O28" s="0" t="n">
        <v>0</v>
      </c>
      <c r="P28" s="0" t="n">
        <v>0</v>
      </c>
      <c r="Q28" s="0" t="n">
        <v>0</v>
      </c>
      <c r="R28" s="0" t="inlineStr">
        <is>
          <t>Available</t>
        </is>
      </c>
      <c r="S28" s="0" t="inlineStr">
        <is>
          <t>Show</t>
        </is>
      </c>
      <c r="W28" s="0" t="inlineStr"/>
      <c r="X28" s="0" t="inlineStr"/>
      <c r="Z28" s="168" t="n"/>
      <c r="AA28" s="0" t="n">
        <v>19000</v>
      </c>
      <c r="AB28" s="0" t="n">
        <v>19000</v>
      </c>
      <c r="AC28" s="0" t="inlineStr"/>
      <c r="AG28" s="168" t="n"/>
      <c r="AI28" s="168" t="inlineStr"/>
      <c r="AK28" s="0" t="inlineStr"/>
      <c r="AM28" s="168" t="inlineStr"/>
      <c r="AO28" s="168" t="n"/>
      <c r="AP28" s="0" t="inlineStr"/>
    </row>
    <row r="29">
      <c r="A29" s="0" t="inlineStr">
        <is>
          <t>GoFood</t>
        </is>
      </c>
      <c r="B29" s="0" t="inlineStr">
        <is>
          <t>Superfood (test)</t>
        </is>
      </c>
      <c r="C29" s="0" t="inlineStr">
        <is>
          <t>F</t>
        </is>
      </c>
      <c r="D29" s="0" t="inlineStr">
        <is>
          <t>https://gofood.link/a/G828092803</t>
        </is>
      </c>
      <c r="E29" s="0" t="inlineStr">
        <is>
          <t>G828092803</t>
        </is>
      </c>
      <c r="F29" s="0" t="inlineStr">
        <is>
          <t>f07ad5ef-9343-4f22-a587-8201b1279f5f</t>
        </is>
      </c>
      <c r="G29" s="0" t="inlineStr">
        <is>
          <t>Es Krim</t>
        </is>
      </c>
      <c r="H29" s="0" t="inlineStr">
        <is>
          <t>ef945543-c15f-4f5f-a57f-1137151cc8cf</t>
        </is>
      </c>
      <c r="I29" s="0" t="inlineStr">
        <is>
          <t>Es Krim Taro</t>
        </is>
      </c>
      <c r="J29" s="0" t="inlineStr"/>
      <c r="K29" s="0" t="inlineStr"/>
      <c r="L29" s="0" t="inlineStr"/>
      <c r="M29" s="0" t="inlineStr"/>
      <c r="N29" s="0" t="inlineStr"/>
      <c r="O29" s="0" t="n">
        <v>0</v>
      </c>
      <c r="P29" s="0" t="n">
        <v>0</v>
      </c>
      <c r="Q29" s="0" t="n">
        <v>0</v>
      </c>
      <c r="R29" s="0" t="inlineStr">
        <is>
          <t>Available</t>
        </is>
      </c>
      <c r="S29" s="0" t="inlineStr">
        <is>
          <t>Show</t>
        </is>
      </c>
      <c r="W29" s="0" t="inlineStr"/>
      <c r="X29" s="0" t="inlineStr"/>
      <c r="Z29" s="168" t="n"/>
      <c r="AA29" s="0" t="n">
        <v>21000</v>
      </c>
      <c r="AB29" s="0" t="n">
        <v>21000</v>
      </c>
      <c r="AC29" s="0" t="inlineStr"/>
      <c r="AG29" s="168" t="n"/>
      <c r="AI29" s="168" t="inlineStr"/>
      <c r="AK29" s="0" t="inlineStr"/>
      <c r="AM29" s="168" t="inlineStr"/>
      <c r="AO29" s="168" t="n"/>
      <c r="AP29" s="0" t="inlineStr"/>
    </row>
    <row r="30">
      <c r="A30" s="0" t="inlineStr">
        <is>
          <t>GoFood</t>
        </is>
      </c>
      <c r="B30" s="0" t="inlineStr">
        <is>
          <t>Superfood (test)</t>
        </is>
      </c>
      <c r="C30" s="0" t="inlineStr">
        <is>
          <t>F</t>
        </is>
      </c>
      <c r="D30" s="0" t="inlineStr">
        <is>
          <t>https://gofood.link/a/G828092803</t>
        </is>
      </c>
      <c r="E30" s="0" t="inlineStr">
        <is>
          <t>G828092803</t>
        </is>
      </c>
      <c r="F30" s="0" t="inlineStr">
        <is>
          <t>f07ad5ef-9343-4f22-a587-8201b1279f5f</t>
        </is>
      </c>
      <c r="G30" s="0" t="inlineStr">
        <is>
          <t>Es Krim</t>
        </is>
      </c>
      <c r="H30" s="0" t="inlineStr">
        <is>
          <t>668ecd3b-bfe1-4fbc-a4fd-402600f0d558</t>
        </is>
      </c>
      <c r="I30" s="0" t="inlineStr">
        <is>
          <t>Es Krim Matcha</t>
        </is>
      </c>
      <c r="J30" s="0" t="inlineStr"/>
      <c r="K30" s="0" t="inlineStr"/>
      <c r="L30" s="0" t="inlineStr"/>
      <c r="M30" s="0" t="inlineStr"/>
      <c r="N30" s="0" t="inlineStr"/>
      <c r="O30" s="0" t="n">
        <v>0</v>
      </c>
      <c r="P30" s="0" t="n">
        <v>0</v>
      </c>
      <c r="Q30" s="0" t="n">
        <v>0</v>
      </c>
      <c r="R30" s="0" t="inlineStr">
        <is>
          <t>Available</t>
        </is>
      </c>
      <c r="S30" s="0" t="inlineStr">
        <is>
          <t>Show</t>
        </is>
      </c>
      <c r="W30" s="0" t="inlineStr"/>
      <c r="X30" s="0" t="inlineStr"/>
      <c r="Z30" s="168" t="n"/>
      <c r="AA30" s="0" t="n">
        <v>21000</v>
      </c>
      <c r="AB30" s="0" t="n">
        <v>21000</v>
      </c>
      <c r="AC30" s="0" t="inlineStr"/>
      <c r="AG30" s="168" t="n"/>
      <c r="AI30" s="168" t="inlineStr"/>
      <c r="AK30" s="0" t="inlineStr"/>
      <c r="AM30" s="168" t="inlineStr"/>
      <c r="AO30" s="168" t="n"/>
      <c r="AP30" s="0" t="inlineStr"/>
    </row>
    <row r="31">
      <c r="A31" s="0" t="inlineStr">
        <is>
          <t>GoFood</t>
        </is>
      </c>
      <c r="B31" s="0" t="inlineStr">
        <is>
          <t>Superfood (test)</t>
        </is>
      </c>
      <c r="C31" s="0" t="inlineStr">
        <is>
          <t>F</t>
        </is>
      </c>
      <c r="D31" s="0" t="inlineStr">
        <is>
          <t>https://gofood.link/a/G828092803</t>
        </is>
      </c>
      <c r="E31" s="0" t="inlineStr">
        <is>
          <t>G828092803</t>
        </is>
      </c>
      <c r="F31" s="0" t="inlineStr">
        <is>
          <t>c001d47f-b48f-458c-a376-4d74ae7dcb73</t>
        </is>
      </c>
      <c r="G31" s="0" t="inlineStr">
        <is>
          <t>Ayam</t>
        </is>
      </c>
      <c r="H31" s="0" t="inlineStr">
        <is>
          <t>60f80f6c-ea84-4288-9cd5-7f9ba9fd946c</t>
        </is>
      </c>
      <c r="I31" s="0" t="inlineStr">
        <is>
          <t>Ayam Geprek Original</t>
        </is>
      </c>
      <c r="J31" s="0" t="inlineStr"/>
      <c r="K31" s="0" t="inlineStr"/>
      <c r="L31" s="0" t="inlineStr"/>
      <c r="M31" s="0" t="inlineStr"/>
      <c r="N31" s="0" t="inlineStr"/>
      <c r="O31" s="0" t="n">
        <v>0</v>
      </c>
      <c r="P31" s="0" t="n">
        <v>0</v>
      </c>
      <c r="Q31" s="0" t="n">
        <v>0</v>
      </c>
      <c r="R31" s="0" t="inlineStr">
        <is>
          <t>Available</t>
        </is>
      </c>
      <c r="S31" s="0" t="inlineStr">
        <is>
          <t>Show</t>
        </is>
      </c>
      <c r="W31" s="0" t="inlineStr"/>
      <c r="X31" s="0" t="inlineStr"/>
      <c r="Z31" s="168" t="n"/>
      <c r="AA31" s="0" t="n">
        <v>23000</v>
      </c>
      <c r="AB31" s="0" t="n">
        <v>23000</v>
      </c>
      <c r="AC31" s="0" t="inlineStr"/>
      <c r="AG31" s="168" t="n"/>
      <c r="AI31" s="168" t="inlineStr"/>
      <c r="AK31" s="0" t="inlineStr"/>
      <c r="AM31" s="168" t="inlineStr"/>
      <c r="AO31" s="168" t="n"/>
      <c r="AP31" s="0" t="inlineStr"/>
    </row>
    <row r="32">
      <c r="A32" s="0" t="inlineStr">
        <is>
          <t>GoFood</t>
        </is>
      </c>
      <c r="B32" s="0" t="inlineStr">
        <is>
          <t>Superfood (test)</t>
        </is>
      </c>
      <c r="C32" s="0" t="inlineStr">
        <is>
          <t>F</t>
        </is>
      </c>
      <c r="D32" s="0" t="inlineStr">
        <is>
          <t>https://gofood.link/a/G828092803</t>
        </is>
      </c>
      <c r="E32" s="0" t="inlineStr">
        <is>
          <t>G828092803</t>
        </is>
      </c>
      <c r="F32" s="0" t="inlineStr">
        <is>
          <t>c001d47f-b48f-458c-a376-4d74ae7dcb73</t>
        </is>
      </c>
      <c r="G32" s="0" t="inlineStr">
        <is>
          <t>Ayam</t>
        </is>
      </c>
      <c r="H32" s="0" t="inlineStr">
        <is>
          <t>edac6ce5-2b14-4589-aca9-0cbc45faf64e</t>
        </is>
      </c>
      <c r="I32" s="0" t="inlineStr">
        <is>
          <t>Ayam Geprek Keju</t>
        </is>
      </c>
      <c r="J32" s="0" t="inlineStr"/>
      <c r="K32" s="0" t="inlineStr"/>
      <c r="L32" s="0" t="inlineStr"/>
      <c r="M32" s="0" t="inlineStr"/>
      <c r="N32" s="0" t="inlineStr"/>
      <c r="O32" s="0" t="n">
        <v>0</v>
      </c>
      <c r="P32" s="0" t="n">
        <v>0</v>
      </c>
      <c r="Q32" s="0" t="n">
        <v>0</v>
      </c>
      <c r="R32" s="0" t="inlineStr">
        <is>
          <t>Available</t>
        </is>
      </c>
      <c r="S32" s="0" t="inlineStr">
        <is>
          <t>Show</t>
        </is>
      </c>
      <c r="W32" s="0" t="inlineStr"/>
      <c r="X32" s="0" t="inlineStr"/>
      <c r="Z32" s="168" t="n"/>
      <c r="AA32" s="0" t="n">
        <v>26000</v>
      </c>
      <c r="AB32" s="0" t="n">
        <v>26000</v>
      </c>
      <c r="AC32" s="0" t="inlineStr"/>
      <c r="AG32" s="168" t="n"/>
      <c r="AI32" s="168" t="inlineStr"/>
      <c r="AK32" s="0" t="inlineStr"/>
      <c r="AM32" s="168" t="inlineStr"/>
      <c r="AO32" s="168" t="n"/>
      <c r="AP32" s="0" t="inlineStr"/>
    </row>
    <row r="33">
      <c r="A33" s="0" t="inlineStr">
        <is>
          <t>GoFood</t>
        </is>
      </c>
      <c r="B33" s="0" t="inlineStr">
        <is>
          <t>Superfood (test)</t>
        </is>
      </c>
      <c r="C33" s="0" t="inlineStr">
        <is>
          <t>F</t>
        </is>
      </c>
      <c r="D33" s="0" t="inlineStr">
        <is>
          <t>https://gofood.link/a/G828092803</t>
        </is>
      </c>
      <c r="E33" s="0" t="inlineStr">
        <is>
          <t>G828092803</t>
        </is>
      </c>
      <c r="F33" s="0" t="inlineStr">
        <is>
          <t>c001d47f-b48f-458c-a376-4d74ae7dcb73</t>
        </is>
      </c>
      <c r="G33" s="0" t="inlineStr">
        <is>
          <t>Ayam</t>
        </is>
      </c>
      <c r="H33" s="0" t="inlineStr">
        <is>
          <t>ebd71b52-1b4d-48a3-a03b-12c15b060667</t>
        </is>
      </c>
      <c r="I33" s="0" t="inlineStr">
        <is>
          <t>Ayam Geprek Sambal Matah</t>
        </is>
      </c>
      <c r="J33" s="0" t="inlineStr"/>
      <c r="K33" s="0" t="inlineStr"/>
      <c r="L33" s="0" t="inlineStr"/>
      <c r="M33" s="0" t="inlineStr"/>
      <c r="N33" s="0" t="inlineStr"/>
      <c r="O33" s="0" t="n">
        <v>0</v>
      </c>
      <c r="P33" s="0" t="n">
        <v>0</v>
      </c>
      <c r="Q33" s="0" t="n">
        <v>0</v>
      </c>
      <c r="R33" s="0" t="inlineStr">
        <is>
          <t>Available</t>
        </is>
      </c>
      <c r="S33" s="0" t="inlineStr">
        <is>
          <t>Show</t>
        </is>
      </c>
      <c r="W33" s="0" t="inlineStr"/>
      <c r="X33" s="0" t="inlineStr"/>
      <c r="Z33" s="168" t="n"/>
      <c r="AA33" s="0" t="n">
        <v>26000</v>
      </c>
      <c r="AB33" s="0" t="n">
        <v>26000</v>
      </c>
      <c r="AC33" s="0" t="inlineStr"/>
      <c r="AG33" s="168" t="n"/>
      <c r="AI33" s="168" t="inlineStr"/>
      <c r="AK33" s="0" t="inlineStr"/>
      <c r="AM33" s="168" t="inlineStr"/>
      <c r="AO33" s="168" t="n"/>
      <c r="AP33" s="0" t="inlineStr"/>
    </row>
    <row r="34">
      <c r="A34" s="0" t="inlineStr">
        <is>
          <t>GoFood</t>
        </is>
      </c>
      <c r="B34" s="0" t="inlineStr">
        <is>
          <t>Superfood (test)</t>
        </is>
      </c>
      <c r="C34" s="0" t="inlineStr">
        <is>
          <t>F</t>
        </is>
      </c>
      <c r="D34" s="0" t="inlineStr">
        <is>
          <t>https://gofood.link/a/G828092803</t>
        </is>
      </c>
      <c r="E34" s="0" t="inlineStr">
        <is>
          <t>G828092803</t>
        </is>
      </c>
      <c r="F34" s="0" t="inlineStr">
        <is>
          <t>c001d47f-b48f-458c-a376-4d74ae7dcb73</t>
        </is>
      </c>
      <c r="G34" s="0" t="inlineStr">
        <is>
          <t>Ayam</t>
        </is>
      </c>
      <c r="H34" s="0" t="inlineStr">
        <is>
          <t>2fc75766-5f76-41e8-94c2-ed6ff491f49a</t>
        </is>
      </c>
      <c r="I34" s="0" t="inlineStr">
        <is>
          <t>Ayam Goreng Kremes</t>
        </is>
      </c>
      <c r="J34" s="0" t="inlineStr"/>
      <c r="K34" s="0" t="inlineStr"/>
      <c r="L34" s="0" t="inlineStr"/>
      <c r="M34" s="0" t="inlineStr"/>
      <c r="N34" s="0" t="inlineStr"/>
      <c r="O34" s="0" t="n">
        <v>0</v>
      </c>
      <c r="P34" s="0" t="n">
        <v>0</v>
      </c>
      <c r="Q34" s="0" t="n">
        <v>0</v>
      </c>
      <c r="R34" s="0" t="inlineStr">
        <is>
          <t>Available</t>
        </is>
      </c>
      <c r="S34" s="0" t="inlineStr">
        <is>
          <t>Show</t>
        </is>
      </c>
      <c r="W34" s="0" t="inlineStr"/>
      <c r="X34" s="0" t="inlineStr"/>
      <c r="Z34" s="168" t="n"/>
      <c r="AA34" s="0" t="n">
        <v>24000</v>
      </c>
      <c r="AB34" s="0" t="n">
        <v>24000</v>
      </c>
      <c r="AC34" s="0" t="inlineStr"/>
      <c r="AG34" s="168" t="n"/>
      <c r="AI34" s="168" t="inlineStr"/>
      <c r="AK34" s="0" t="inlineStr"/>
      <c r="AM34" s="168" t="inlineStr"/>
      <c r="AO34" s="168" t="n"/>
      <c r="AP34" s="0" t="inlineStr"/>
    </row>
    <row r="35">
      <c r="A35" s="0" t="inlineStr">
        <is>
          <t>GoFood</t>
        </is>
      </c>
      <c r="B35" s="0" t="inlineStr">
        <is>
          <t>Superfood (test)</t>
        </is>
      </c>
      <c r="C35" s="0" t="inlineStr">
        <is>
          <t>F</t>
        </is>
      </c>
      <c r="D35" s="0" t="inlineStr">
        <is>
          <t>https://gofood.link/a/G828092803</t>
        </is>
      </c>
      <c r="E35" s="0" t="inlineStr">
        <is>
          <t>G828092803</t>
        </is>
      </c>
      <c r="F35" s="0" t="inlineStr">
        <is>
          <t>c001d47f-b48f-458c-a376-4d74ae7dcb73</t>
        </is>
      </c>
      <c r="G35" s="0" t="inlineStr">
        <is>
          <t>Ayam</t>
        </is>
      </c>
      <c r="H35" s="0" t="inlineStr">
        <is>
          <t>4e40a678-5582-4ca6-8251-8f04380c9f19</t>
        </is>
      </c>
      <c r="I35" s="0" t="inlineStr">
        <is>
          <t>Ayam Bakar Madu</t>
        </is>
      </c>
      <c r="J35" s="0" t="inlineStr"/>
      <c r="K35" s="0" t="inlineStr"/>
      <c r="L35" s="0" t="inlineStr"/>
      <c r="M35" s="0" t="inlineStr"/>
      <c r="N35" s="0" t="inlineStr"/>
      <c r="O35" s="0" t="n">
        <v>0</v>
      </c>
      <c r="P35" s="0" t="n">
        <v>0</v>
      </c>
      <c r="Q35" s="0" t="n">
        <v>0</v>
      </c>
      <c r="R35" s="0" t="inlineStr">
        <is>
          <t>Available</t>
        </is>
      </c>
      <c r="S35" s="0" t="inlineStr">
        <is>
          <t>Show</t>
        </is>
      </c>
      <c r="W35" s="0" t="inlineStr"/>
      <c r="X35" s="0" t="inlineStr"/>
      <c r="Z35" s="168" t="n"/>
      <c r="AA35" s="0" t="n">
        <v>26000</v>
      </c>
      <c r="AB35" s="0" t="n">
        <v>26000</v>
      </c>
      <c r="AC35" s="0" t="inlineStr"/>
      <c r="AG35" s="168" t="n"/>
      <c r="AI35" s="168" t="inlineStr"/>
      <c r="AK35" s="0" t="inlineStr"/>
      <c r="AM35" s="168" t="inlineStr"/>
      <c r="AO35" s="168" t="n"/>
      <c r="AP35" s="0" t="inlineStr"/>
    </row>
    <row r="36">
      <c r="A36" s="0" t="inlineStr">
        <is>
          <t>GoFood</t>
        </is>
      </c>
      <c r="B36" s="0" t="inlineStr">
        <is>
          <t>Superfood (test)</t>
        </is>
      </c>
      <c r="C36" s="0" t="inlineStr">
        <is>
          <t>F</t>
        </is>
      </c>
      <c r="D36" s="0" t="inlineStr">
        <is>
          <t>https://gofood.link/a/G828092803</t>
        </is>
      </c>
      <c r="E36" s="0" t="inlineStr">
        <is>
          <t>G828092803</t>
        </is>
      </c>
      <c r="F36" s="0" t="inlineStr">
        <is>
          <t>c001d47f-b48f-458c-a376-4d74ae7dcb73</t>
        </is>
      </c>
      <c r="G36" s="0" t="inlineStr">
        <is>
          <t>Ayam</t>
        </is>
      </c>
      <c r="H36" s="0" t="inlineStr">
        <is>
          <t>ee6e9b07-88b9-46b5-baa8-b50ffcf3927a</t>
        </is>
      </c>
      <c r="I36" s="0" t="inlineStr">
        <is>
          <t>Ayam Bakar Taliwang</t>
        </is>
      </c>
      <c r="J36" s="0" t="inlineStr"/>
      <c r="K36" s="0" t="inlineStr"/>
      <c r="L36" s="0" t="inlineStr"/>
      <c r="M36" s="0" t="inlineStr"/>
      <c r="N36" s="0" t="inlineStr"/>
      <c r="O36" s="0" t="n">
        <v>0</v>
      </c>
      <c r="P36" s="0" t="n">
        <v>0</v>
      </c>
      <c r="Q36" s="0" t="n">
        <v>0</v>
      </c>
      <c r="R36" s="0" t="inlineStr">
        <is>
          <t>Available</t>
        </is>
      </c>
      <c r="S36" s="0" t="inlineStr">
        <is>
          <t>Show</t>
        </is>
      </c>
      <c r="W36" s="0" t="inlineStr"/>
      <c r="X36" s="0" t="inlineStr"/>
      <c r="Z36" s="168" t="n"/>
      <c r="AA36" s="0" t="n">
        <v>28000</v>
      </c>
      <c r="AB36" s="0" t="n">
        <v>28000</v>
      </c>
      <c r="AC36" s="0" t="inlineStr"/>
      <c r="AG36" s="168" t="n"/>
      <c r="AI36" s="168" t="inlineStr"/>
      <c r="AK36" s="0" t="inlineStr"/>
      <c r="AM36" s="168" t="inlineStr"/>
      <c r="AO36" s="168" t="n"/>
      <c r="AP36" s="0" t="inlineStr"/>
    </row>
    <row r="37">
      <c r="A37" s="0" t="inlineStr">
        <is>
          <t>GoFood</t>
        </is>
      </c>
      <c r="B37" s="0" t="inlineStr">
        <is>
          <t>Superfood (test)</t>
        </is>
      </c>
      <c r="C37" s="0" t="inlineStr">
        <is>
          <t>F</t>
        </is>
      </c>
      <c r="D37" s="0" t="inlineStr">
        <is>
          <t>https://gofood.link/a/G828092803</t>
        </is>
      </c>
      <c r="E37" s="0" t="inlineStr">
        <is>
          <t>G828092803</t>
        </is>
      </c>
      <c r="F37" s="0" t="inlineStr">
        <is>
          <t>c001d47f-b48f-458c-a376-4d74ae7dcb73</t>
        </is>
      </c>
      <c r="G37" s="0" t="inlineStr">
        <is>
          <t>Ayam</t>
        </is>
      </c>
      <c r="H37" s="0" t="inlineStr">
        <is>
          <t>4c40acdd-955d-48dd-8263-18119c514183</t>
        </is>
      </c>
      <c r="I37" s="0" t="inlineStr">
        <is>
          <t>Ayam Penyet</t>
        </is>
      </c>
      <c r="J37" s="0" t="inlineStr"/>
      <c r="K37" s="0" t="inlineStr"/>
      <c r="L37" s="0" t="inlineStr"/>
      <c r="M37" s="0" t="inlineStr"/>
      <c r="N37" s="0" t="inlineStr"/>
      <c r="O37" s="0" t="n">
        <v>0</v>
      </c>
      <c r="P37" s="0" t="n">
        <v>0</v>
      </c>
      <c r="Q37" s="0" t="n">
        <v>0</v>
      </c>
      <c r="R37" s="0" t="inlineStr">
        <is>
          <t>Available</t>
        </is>
      </c>
      <c r="S37" s="0" t="inlineStr">
        <is>
          <t>Show</t>
        </is>
      </c>
      <c r="W37" s="0" t="inlineStr"/>
      <c r="X37" s="0" t="inlineStr"/>
      <c r="Z37" s="168" t="n"/>
      <c r="AA37" s="0" t="n">
        <v>24000</v>
      </c>
      <c r="AB37" s="0" t="n">
        <v>24000</v>
      </c>
      <c r="AC37" s="0" t="inlineStr"/>
      <c r="AG37" s="168" t="n"/>
      <c r="AI37" s="168" t="inlineStr"/>
      <c r="AK37" s="0" t="inlineStr"/>
      <c r="AM37" s="168" t="inlineStr"/>
      <c r="AO37" s="168" t="n"/>
      <c r="AP37" s="0" t="inlineStr"/>
    </row>
    <row r="38">
      <c r="A38" s="0" t="inlineStr">
        <is>
          <t>GoFood</t>
        </is>
      </c>
      <c r="B38" s="0" t="inlineStr">
        <is>
          <t>Superfood (test)</t>
        </is>
      </c>
      <c r="C38" s="0" t="inlineStr">
        <is>
          <t>F</t>
        </is>
      </c>
      <c r="D38" s="0" t="inlineStr">
        <is>
          <t>https://gofood.link/a/G828092803</t>
        </is>
      </c>
      <c r="E38" s="0" t="inlineStr">
        <is>
          <t>G828092803</t>
        </is>
      </c>
      <c r="F38" s="0" t="inlineStr">
        <is>
          <t>c001d47f-b48f-458c-a376-4d74ae7dcb73</t>
        </is>
      </c>
      <c r="G38" s="0" t="inlineStr">
        <is>
          <t>Ayam</t>
        </is>
      </c>
      <c r="H38" s="0" t="inlineStr">
        <is>
          <t>1e07b8c8-9e64-41b2-a698-5fca6fd6d2c4</t>
        </is>
      </c>
      <c r="I38" s="0" t="inlineStr">
        <is>
          <t>Ayam Rica-Rica</t>
        </is>
      </c>
      <c r="J38" s="0" t="inlineStr"/>
      <c r="K38" s="0" t="inlineStr"/>
      <c r="L38" s="0" t="inlineStr"/>
      <c r="M38" s="0" t="inlineStr"/>
      <c r="N38" s="0" t="inlineStr"/>
      <c r="O38" s="0" t="n">
        <v>0</v>
      </c>
      <c r="P38" s="0" t="n">
        <v>0</v>
      </c>
      <c r="Q38" s="0" t="n">
        <v>0</v>
      </c>
      <c r="R38" s="0" t="inlineStr">
        <is>
          <t>Available</t>
        </is>
      </c>
      <c r="S38" s="0" t="inlineStr">
        <is>
          <t>Show</t>
        </is>
      </c>
      <c r="W38" s="0" t="inlineStr"/>
      <c r="X38" s="0" t="inlineStr"/>
      <c r="Z38" s="168" t="n"/>
      <c r="AA38" s="0" t="n">
        <v>26000</v>
      </c>
      <c r="AB38" s="0" t="n">
        <v>26000</v>
      </c>
      <c r="AC38" s="0" t="inlineStr"/>
      <c r="AG38" s="168" t="n"/>
      <c r="AI38" s="168" t="inlineStr"/>
      <c r="AK38" s="0" t="inlineStr"/>
      <c r="AM38" s="168" t="inlineStr"/>
      <c r="AO38" s="168" t="n"/>
      <c r="AP38" s="0" t="inlineStr"/>
    </row>
    <row r="39">
      <c r="A39" s="0" t="inlineStr">
        <is>
          <t>GoFood</t>
        </is>
      </c>
      <c r="B39" s="0" t="inlineStr">
        <is>
          <t>Superfood (test)</t>
        </is>
      </c>
      <c r="C39" s="0" t="inlineStr">
        <is>
          <t>F</t>
        </is>
      </c>
      <c r="D39" s="0" t="inlineStr">
        <is>
          <t>https://gofood.link/a/G828092803</t>
        </is>
      </c>
      <c r="E39" s="0" t="inlineStr">
        <is>
          <t>G828092803</t>
        </is>
      </c>
      <c r="F39" s="0" t="inlineStr">
        <is>
          <t>c001d47f-b48f-458c-a376-4d74ae7dcb73</t>
        </is>
      </c>
      <c r="G39" s="0" t="inlineStr">
        <is>
          <t>Ayam</t>
        </is>
      </c>
      <c r="H39" s="0" t="inlineStr">
        <is>
          <t>f5777465-5751-406a-9746-abdb60abc14d</t>
        </is>
      </c>
      <c r="I39" s="0" t="inlineStr">
        <is>
          <t>Ayam Kecap</t>
        </is>
      </c>
      <c r="J39" s="0" t="inlineStr"/>
      <c r="K39" s="0" t="inlineStr"/>
      <c r="L39" s="0" t="inlineStr"/>
      <c r="M39" s="0" t="inlineStr"/>
      <c r="N39" s="0" t="inlineStr"/>
      <c r="O39" s="0" t="n">
        <v>0</v>
      </c>
      <c r="P39" s="0" t="n">
        <v>0</v>
      </c>
      <c r="Q39" s="0" t="n">
        <v>0</v>
      </c>
      <c r="R39" s="0" t="inlineStr">
        <is>
          <t>Available</t>
        </is>
      </c>
      <c r="S39" s="0" t="inlineStr">
        <is>
          <t>Show</t>
        </is>
      </c>
      <c r="W39" s="0" t="inlineStr"/>
      <c r="X39" s="0" t="inlineStr"/>
      <c r="Z39" s="168" t="n"/>
      <c r="AA39" s="0" t="n">
        <v>24000</v>
      </c>
      <c r="AB39" s="0" t="n">
        <v>24000</v>
      </c>
      <c r="AC39" s="0" t="inlineStr"/>
      <c r="AG39" s="168" t="n"/>
      <c r="AI39" s="168" t="inlineStr"/>
      <c r="AK39" s="0" t="inlineStr"/>
      <c r="AM39" s="168" t="inlineStr"/>
      <c r="AO39" s="168" t="n"/>
      <c r="AP39" s="0" t="inlineStr"/>
    </row>
    <row r="40">
      <c r="A40" s="0" t="inlineStr">
        <is>
          <t>GoFood</t>
        </is>
      </c>
      <c r="B40" s="0" t="inlineStr">
        <is>
          <t>Superfood (test)</t>
        </is>
      </c>
      <c r="C40" s="0" t="inlineStr">
        <is>
          <t>F</t>
        </is>
      </c>
      <c r="D40" s="0" t="inlineStr">
        <is>
          <t>https://gofood.link/a/G828092803</t>
        </is>
      </c>
      <c r="E40" s="0" t="inlineStr">
        <is>
          <t>G828092803</t>
        </is>
      </c>
      <c r="F40" s="0" t="inlineStr">
        <is>
          <t>c001d47f-b48f-458c-a376-4d74ae7dcb73</t>
        </is>
      </c>
      <c r="G40" s="0" t="inlineStr">
        <is>
          <t>Ayam</t>
        </is>
      </c>
      <c r="H40" s="0" t="inlineStr">
        <is>
          <t>acbe69ca-48dd-43e3-885f-e663230c067f</t>
        </is>
      </c>
      <c r="I40" s="0" t="inlineStr">
        <is>
          <t>Ayam Cabe Garam</t>
        </is>
      </c>
      <c r="J40" s="0" t="inlineStr"/>
      <c r="K40" s="0" t="inlineStr"/>
      <c r="L40" s="0" t="inlineStr"/>
      <c r="M40" s="0" t="inlineStr"/>
      <c r="N40" s="0" t="inlineStr"/>
      <c r="O40" s="0" t="n">
        <v>0</v>
      </c>
      <c r="P40" s="0" t="n">
        <v>0</v>
      </c>
      <c r="Q40" s="0" t="n">
        <v>0</v>
      </c>
      <c r="R40" s="0" t="inlineStr">
        <is>
          <t>Available</t>
        </is>
      </c>
      <c r="S40" s="0" t="inlineStr">
        <is>
          <t>Show</t>
        </is>
      </c>
      <c r="W40" s="0" t="inlineStr"/>
      <c r="X40" s="0" t="inlineStr"/>
      <c r="Z40" s="168" t="n"/>
      <c r="AA40" s="0" t="n">
        <v>25000</v>
      </c>
      <c r="AB40" s="0" t="n">
        <v>25000</v>
      </c>
      <c r="AC40" s="0" t="inlineStr"/>
      <c r="AG40" s="168" t="n"/>
      <c r="AI40" s="168" t="inlineStr"/>
      <c r="AK40" s="0" t="inlineStr"/>
      <c r="AM40" s="168" t="inlineStr"/>
      <c r="AO40" s="168" t="n"/>
      <c r="AP40" s="0" t="inlineStr"/>
    </row>
    <row r="41">
      <c r="A41" s="0" t="inlineStr">
        <is>
          <t>GoFood</t>
        </is>
      </c>
      <c r="B41" s="0" t="inlineStr">
        <is>
          <t>Superfood (test)</t>
        </is>
      </c>
      <c r="C41" s="0" t="inlineStr">
        <is>
          <t>F</t>
        </is>
      </c>
      <c r="D41" s="0" t="inlineStr">
        <is>
          <t>https://gofood.link/a/G828092803</t>
        </is>
      </c>
      <c r="E41" s="0" t="inlineStr">
        <is>
          <t>G828092803</t>
        </is>
      </c>
      <c r="F41" s="0" t="inlineStr">
        <is>
          <t>c001d47f-b48f-458c-a376-4d74ae7dcb73</t>
        </is>
      </c>
      <c r="G41" s="0" t="inlineStr">
        <is>
          <t>Ayam</t>
        </is>
      </c>
      <c r="H41" s="0" t="inlineStr">
        <is>
          <t>edc93063-a765-430a-8ac8-b2be2bc69e64</t>
        </is>
      </c>
      <c r="I41" s="0" t="inlineStr">
        <is>
          <t>Chicken Katsu</t>
        </is>
      </c>
      <c r="J41" s="0" t="inlineStr"/>
      <c r="K41" s="0" t="inlineStr"/>
      <c r="L41" s="0" t="inlineStr"/>
      <c r="M41" s="0" t="inlineStr"/>
      <c r="N41" s="0" t="inlineStr"/>
      <c r="O41" s="0" t="n">
        <v>0</v>
      </c>
      <c r="P41" s="0" t="n">
        <v>0</v>
      </c>
      <c r="Q41" s="0" t="n">
        <v>0</v>
      </c>
      <c r="R41" s="0" t="inlineStr">
        <is>
          <t>Available</t>
        </is>
      </c>
      <c r="S41" s="0" t="inlineStr">
        <is>
          <t>Show</t>
        </is>
      </c>
      <c r="W41" s="0" t="inlineStr"/>
      <c r="X41" s="0" t="inlineStr"/>
      <c r="Z41" s="168" t="n"/>
      <c r="AA41" s="0" t="n">
        <v>28000</v>
      </c>
      <c r="AB41" s="0" t="n">
        <v>28000</v>
      </c>
      <c r="AC41" s="0" t="inlineStr"/>
      <c r="AG41" s="168" t="n"/>
      <c r="AI41" s="168" t="inlineStr"/>
      <c r="AK41" s="0" t="inlineStr"/>
      <c r="AM41" s="168" t="inlineStr"/>
      <c r="AO41" s="168" t="n"/>
      <c r="AP41" s="0" t="inlineStr"/>
    </row>
    <row r="42">
      <c r="A42" s="0" t="inlineStr">
        <is>
          <t>GoFood</t>
        </is>
      </c>
      <c r="B42" s="0" t="inlineStr">
        <is>
          <t>Superfood (test)</t>
        </is>
      </c>
      <c r="C42" s="0" t="inlineStr">
        <is>
          <t>F</t>
        </is>
      </c>
      <c r="D42" s="0" t="inlineStr">
        <is>
          <t>https://gofood.link/a/G828092803</t>
        </is>
      </c>
      <c r="E42" s="0" t="inlineStr">
        <is>
          <t>G828092803</t>
        </is>
      </c>
      <c r="F42" s="0" t="inlineStr">
        <is>
          <t>c001d47f-b48f-458c-a376-4d74ae7dcb73</t>
        </is>
      </c>
      <c r="G42" s="0" t="inlineStr">
        <is>
          <t>Ayam</t>
        </is>
      </c>
      <c r="H42" s="0" t="inlineStr">
        <is>
          <t>54cffb04-78d1-4bd3-ba82-0bcc20b8e0a1</t>
        </is>
      </c>
      <c r="I42" s="0" t="inlineStr">
        <is>
          <t>Chicken Wings</t>
        </is>
      </c>
      <c r="J42" s="0" t="inlineStr"/>
      <c r="K42" s="0" t="inlineStr"/>
      <c r="L42" s="0" t="inlineStr"/>
      <c r="M42" s="0" t="inlineStr"/>
      <c r="N42" s="0" t="inlineStr"/>
      <c r="O42" s="0" t="n">
        <v>0</v>
      </c>
      <c r="P42" s="0" t="n">
        <v>0</v>
      </c>
      <c r="Q42" s="0" t="n">
        <v>0</v>
      </c>
      <c r="R42" s="0" t="inlineStr">
        <is>
          <t>Available</t>
        </is>
      </c>
      <c r="S42" s="0" t="inlineStr">
        <is>
          <t>Show</t>
        </is>
      </c>
      <c r="W42" s="0" t="inlineStr"/>
      <c r="X42" s="0" t="inlineStr"/>
      <c r="Z42" s="168" t="n"/>
      <c r="AA42" s="0" t="n">
        <v>26000</v>
      </c>
      <c r="AB42" s="0" t="n">
        <v>26000</v>
      </c>
      <c r="AC42" s="0" t="inlineStr"/>
      <c r="AG42" s="168" t="n"/>
      <c r="AI42" s="168" t="inlineStr"/>
      <c r="AK42" s="0" t="inlineStr"/>
      <c r="AM42" s="168" t="inlineStr"/>
      <c r="AO42" s="168" t="n"/>
      <c r="AP42" s="0" t="inlineStr"/>
    </row>
    <row r="43">
      <c r="A43" s="0" t="inlineStr">
        <is>
          <t>GoFood</t>
        </is>
      </c>
      <c r="B43" s="0" t="inlineStr">
        <is>
          <t>Superfood (test)</t>
        </is>
      </c>
      <c r="C43" s="0" t="inlineStr">
        <is>
          <t>F</t>
        </is>
      </c>
      <c r="D43" s="0" t="inlineStr">
        <is>
          <t>https://gofood.link/a/G828092803</t>
        </is>
      </c>
      <c r="E43" s="0" t="inlineStr">
        <is>
          <t>G828092803</t>
        </is>
      </c>
      <c r="F43" s="0" t="inlineStr">
        <is>
          <t>4af04c4e-8b18-4bfe-849f-6f7bfe569404</t>
        </is>
      </c>
      <c r="G43" s="0" t="inlineStr">
        <is>
          <t>Soto &amp; Sup</t>
        </is>
      </c>
      <c r="H43" s="0" t="inlineStr">
        <is>
          <t>8da3e9a7-fbd5-47cd-b2e0-36cf09572a6f</t>
        </is>
      </c>
      <c r="I43" s="0" t="inlineStr">
        <is>
          <t>Soto Ayam</t>
        </is>
      </c>
      <c r="J43" s="0" t="inlineStr"/>
      <c r="K43" s="0" t="inlineStr"/>
      <c r="L43" s="0" t="inlineStr"/>
      <c r="M43" s="0" t="inlineStr"/>
      <c r="N43" s="0" t="inlineStr"/>
      <c r="O43" s="0" t="n">
        <v>0</v>
      </c>
      <c r="P43" s="0" t="n">
        <v>0</v>
      </c>
      <c r="Q43" s="0" t="n">
        <v>0</v>
      </c>
      <c r="R43" s="0" t="inlineStr">
        <is>
          <t>Available</t>
        </is>
      </c>
      <c r="S43" s="0" t="inlineStr">
        <is>
          <t>Show</t>
        </is>
      </c>
      <c r="W43" s="0" t="inlineStr"/>
      <c r="X43" s="0" t="inlineStr"/>
      <c r="Z43" s="168" t="n"/>
      <c r="AA43" s="0" t="n">
        <v>24000</v>
      </c>
      <c r="AB43" s="0" t="n">
        <v>24000</v>
      </c>
      <c r="AC43" s="0" t="inlineStr"/>
      <c r="AG43" s="168" t="n"/>
      <c r="AI43" s="168" t="inlineStr"/>
      <c r="AK43" s="0" t="inlineStr"/>
      <c r="AM43" s="168" t="inlineStr"/>
      <c r="AO43" s="168" t="n"/>
      <c r="AP43" s="0" t="inlineStr"/>
    </row>
    <row r="44">
      <c r="A44" s="0" t="inlineStr">
        <is>
          <t>GoFood</t>
        </is>
      </c>
      <c r="B44" s="0" t="inlineStr">
        <is>
          <t>Superfood (test)</t>
        </is>
      </c>
      <c r="C44" s="0" t="inlineStr">
        <is>
          <t>F</t>
        </is>
      </c>
      <c r="D44" s="0" t="inlineStr">
        <is>
          <t>https://gofood.link/a/G828092803</t>
        </is>
      </c>
      <c r="E44" s="0" t="inlineStr">
        <is>
          <t>G828092803</t>
        </is>
      </c>
      <c r="F44" s="0" t="inlineStr">
        <is>
          <t>4af04c4e-8b18-4bfe-849f-6f7bfe569404</t>
        </is>
      </c>
      <c r="G44" s="0" t="inlineStr">
        <is>
          <t>Soto &amp; Sup</t>
        </is>
      </c>
      <c r="H44" s="0" t="inlineStr">
        <is>
          <t>b8fbc7c9-1fc6-41de-b339-462ee4c15f8a</t>
        </is>
      </c>
      <c r="I44" s="0" t="inlineStr">
        <is>
          <t>Soto Betawi</t>
        </is>
      </c>
      <c r="J44" s="0" t="inlineStr"/>
      <c r="K44" s="0" t="inlineStr"/>
      <c r="L44" s="0" t="inlineStr"/>
      <c r="M44" s="0" t="inlineStr"/>
      <c r="N44" s="0" t="inlineStr"/>
      <c r="O44" s="0" t="n">
        <v>0</v>
      </c>
      <c r="P44" s="0" t="n">
        <v>0</v>
      </c>
      <c r="Q44" s="0" t="n">
        <v>0</v>
      </c>
      <c r="R44" s="0" t="inlineStr">
        <is>
          <t>Available</t>
        </is>
      </c>
      <c r="S44" s="0" t="inlineStr">
        <is>
          <t>Show</t>
        </is>
      </c>
      <c r="W44" s="0" t="inlineStr"/>
      <c r="X44" s="0" t="inlineStr"/>
      <c r="Z44" s="168" t="n"/>
      <c r="AA44" s="0" t="n">
        <v>31000</v>
      </c>
      <c r="AB44" s="0" t="n">
        <v>31000</v>
      </c>
      <c r="AC44" s="0" t="inlineStr"/>
      <c r="AG44" s="168" t="n"/>
      <c r="AI44" s="168" t="inlineStr"/>
      <c r="AK44" s="0" t="inlineStr"/>
      <c r="AM44" s="168" t="inlineStr"/>
      <c r="AO44" s="168" t="n"/>
      <c r="AP44" s="0" t="inlineStr"/>
    </row>
    <row r="45">
      <c r="A45" s="0" t="inlineStr">
        <is>
          <t>GoFood</t>
        </is>
      </c>
      <c r="B45" s="0" t="inlineStr">
        <is>
          <t>Superfood (test)</t>
        </is>
      </c>
      <c r="C45" s="0" t="inlineStr">
        <is>
          <t>F</t>
        </is>
      </c>
      <c r="D45" s="0" t="inlineStr">
        <is>
          <t>https://gofood.link/a/G828092803</t>
        </is>
      </c>
      <c r="E45" s="0" t="inlineStr">
        <is>
          <t>G828092803</t>
        </is>
      </c>
      <c r="F45" s="0" t="inlineStr">
        <is>
          <t>4af04c4e-8b18-4bfe-849f-6f7bfe569404</t>
        </is>
      </c>
      <c r="G45" s="0" t="inlineStr">
        <is>
          <t>Soto &amp; Sup</t>
        </is>
      </c>
      <c r="H45" s="0" t="inlineStr">
        <is>
          <t>45242517-db3b-4ca2-b6e4-5723f6c9fbbd</t>
        </is>
      </c>
      <c r="I45" s="0" t="inlineStr">
        <is>
          <t>Soto Babat</t>
        </is>
      </c>
      <c r="J45" s="0" t="inlineStr"/>
      <c r="K45" s="0" t="inlineStr"/>
      <c r="L45" s="0" t="inlineStr"/>
      <c r="M45" s="0" t="inlineStr"/>
      <c r="N45" s="0" t="inlineStr"/>
      <c r="O45" s="0" t="n">
        <v>0</v>
      </c>
      <c r="P45" s="0" t="n">
        <v>0</v>
      </c>
      <c r="Q45" s="0" t="n">
        <v>0</v>
      </c>
      <c r="R45" s="0" t="inlineStr">
        <is>
          <t>Available</t>
        </is>
      </c>
      <c r="S45" s="0" t="inlineStr">
        <is>
          <t>Show</t>
        </is>
      </c>
      <c r="W45" s="0" t="inlineStr"/>
      <c r="X45" s="0" t="inlineStr"/>
      <c r="Z45" s="168" t="n"/>
      <c r="AA45" s="0" t="n">
        <v>31000</v>
      </c>
      <c r="AB45" s="0" t="n">
        <v>31000</v>
      </c>
      <c r="AC45" s="0" t="inlineStr"/>
      <c r="AG45" s="168" t="n"/>
      <c r="AI45" s="168" t="inlineStr"/>
      <c r="AK45" s="0" t="inlineStr"/>
      <c r="AM45" s="168" t="inlineStr"/>
      <c r="AO45" s="168" t="n"/>
      <c r="AP45" s="0" t="inlineStr"/>
    </row>
    <row r="46">
      <c r="A46" s="0" t="inlineStr">
        <is>
          <t>GoFood</t>
        </is>
      </c>
      <c r="B46" s="0" t="inlineStr">
        <is>
          <t>Superfood (test)</t>
        </is>
      </c>
      <c r="C46" s="0" t="inlineStr">
        <is>
          <t>F</t>
        </is>
      </c>
      <c r="D46" s="0" t="inlineStr">
        <is>
          <t>https://gofood.link/a/G828092803</t>
        </is>
      </c>
      <c r="E46" s="0" t="inlineStr">
        <is>
          <t>G828092803</t>
        </is>
      </c>
      <c r="F46" s="0" t="inlineStr">
        <is>
          <t>4af04c4e-8b18-4bfe-849f-6f7bfe569404</t>
        </is>
      </c>
      <c r="G46" s="0" t="inlineStr">
        <is>
          <t>Soto &amp; Sup</t>
        </is>
      </c>
      <c r="H46" s="0" t="inlineStr">
        <is>
          <t>8d2c9700-d675-483f-bbc2-3d17d6be9012</t>
        </is>
      </c>
      <c r="I46" s="0" t="inlineStr">
        <is>
          <t>Soto Mie</t>
        </is>
      </c>
      <c r="J46" s="0" t="inlineStr"/>
      <c r="K46" s="0" t="inlineStr"/>
      <c r="L46" s="0" t="inlineStr"/>
      <c r="M46" s="0" t="inlineStr"/>
      <c r="N46" s="0" t="inlineStr"/>
      <c r="O46" s="0" t="n">
        <v>0</v>
      </c>
      <c r="P46" s="0" t="n">
        <v>0</v>
      </c>
      <c r="Q46" s="0" t="n">
        <v>0</v>
      </c>
      <c r="R46" s="0" t="inlineStr">
        <is>
          <t>Available</t>
        </is>
      </c>
      <c r="S46" s="0" t="inlineStr">
        <is>
          <t>Show</t>
        </is>
      </c>
      <c r="W46" s="0" t="inlineStr"/>
      <c r="X46" s="0" t="inlineStr"/>
      <c r="Z46" s="168" t="n"/>
      <c r="AA46" s="0" t="n">
        <v>24000</v>
      </c>
      <c r="AB46" s="0" t="n">
        <v>24000</v>
      </c>
      <c r="AC46" s="0" t="inlineStr"/>
      <c r="AG46" s="168" t="n"/>
      <c r="AI46" s="168" t="inlineStr"/>
      <c r="AK46" s="0" t="inlineStr"/>
      <c r="AM46" s="168" t="inlineStr"/>
      <c r="AO46" s="168" t="n"/>
      <c r="AP46" s="0" t="inlineStr"/>
    </row>
    <row r="47">
      <c r="A47" s="0" t="inlineStr">
        <is>
          <t>GoFood</t>
        </is>
      </c>
      <c r="B47" s="0" t="inlineStr">
        <is>
          <t>Superfood (test)</t>
        </is>
      </c>
      <c r="C47" s="0" t="inlineStr">
        <is>
          <t>F</t>
        </is>
      </c>
      <c r="D47" s="0" t="inlineStr">
        <is>
          <t>https://gofood.link/a/G828092803</t>
        </is>
      </c>
      <c r="E47" s="0" t="inlineStr">
        <is>
          <t>G828092803</t>
        </is>
      </c>
      <c r="F47" s="0" t="inlineStr">
        <is>
          <t>4af04c4e-8b18-4bfe-849f-6f7bfe569404</t>
        </is>
      </c>
      <c r="G47" s="0" t="inlineStr">
        <is>
          <t>Soto &amp; Sup</t>
        </is>
      </c>
      <c r="H47" s="0" t="inlineStr">
        <is>
          <t>f850e59f-9e61-4d54-a983-f74dde64a085</t>
        </is>
      </c>
      <c r="I47" s="0" t="inlineStr">
        <is>
          <t>Sop Buntut</t>
        </is>
      </c>
      <c r="J47" s="0" t="inlineStr"/>
      <c r="K47" s="0" t="inlineStr"/>
      <c r="L47" s="0" t="inlineStr"/>
      <c r="M47" s="0" t="inlineStr"/>
      <c r="N47" s="0" t="inlineStr"/>
      <c r="O47" s="0" t="n">
        <v>0</v>
      </c>
      <c r="P47" s="0" t="n">
        <v>0</v>
      </c>
      <c r="Q47" s="0" t="n">
        <v>0</v>
      </c>
      <c r="R47" s="0" t="inlineStr">
        <is>
          <t>Available</t>
        </is>
      </c>
      <c r="S47" s="0" t="inlineStr">
        <is>
          <t>Show</t>
        </is>
      </c>
      <c r="W47" s="0" t="inlineStr"/>
      <c r="X47" s="0" t="inlineStr"/>
      <c r="Z47" s="168" t="n"/>
      <c r="AA47" s="0" t="n">
        <v>46000</v>
      </c>
      <c r="AB47" s="0" t="n">
        <v>46000</v>
      </c>
      <c r="AC47" s="0" t="inlineStr"/>
      <c r="AG47" s="168" t="n"/>
      <c r="AI47" s="168" t="inlineStr"/>
      <c r="AK47" s="0" t="inlineStr"/>
      <c r="AM47" s="168" t="inlineStr"/>
      <c r="AO47" s="168" t="n"/>
      <c r="AP47" s="0" t="inlineStr"/>
    </row>
    <row r="48">
      <c r="A48" s="0" t="inlineStr">
        <is>
          <t>GoFood</t>
        </is>
      </c>
      <c r="B48" s="0" t="inlineStr">
        <is>
          <t>Superfood (test)</t>
        </is>
      </c>
      <c r="C48" s="0" t="inlineStr">
        <is>
          <t>F</t>
        </is>
      </c>
      <c r="D48" s="0" t="inlineStr">
        <is>
          <t>https://gofood.link/a/G828092803</t>
        </is>
      </c>
      <c r="E48" s="0" t="inlineStr">
        <is>
          <t>G828092803</t>
        </is>
      </c>
      <c r="F48" s="0" t="inlineStr">
        <is>
          <t>4af04c4e-8b18-4bfe-849f-6f7bfe569404</t>
        </is>
      </c>
      <c r="G48" s="0" t="inlineStr">
        <is>
          <t>Soto &amp; Sup</t>
        </is>
      </c>
      <c r="H48" s="0" t="inlineStr">
        <is>
          <t>d40dcb71-bf51-4536-bb7d-5c0ab07868fc</t>
        </is>
      </c>
      <c r="I48" s="0" t="inlineStr">
        <is>
          <t>Sop Iga</t>
        </is>
      </c>
      <c r="J48" s="0" t="inlineStr"/>
      <c r="K48" s="0" t="inlineStr"/>
      <c r="L48" s="0" t="inlineStr"/>
      <c r="M48" s="0" t="inlineStr"/>
      <c r="N48" s="0" t="inlineStr"/>
      <c r="O48" s="0" t="n">
        <v>0</v>
      </c>
      <c r="P48" s="0" t="n">
        <v>0</v>
      </c>
      <c r="Q48" s="0" t="n">
        <v>0</v>
      </c>
      <c r="R48" s="0" t="inlineStr">
        <is>
          <t>Available</t>
        </is>
      </c>
      <c r="S48" s="0" t="inlineStr">
        <is>
          <t>Show</t>
        </is>
      </c>
      <c r="W48" s="0" t="inlineStr"/>
      <c r="X48" s="0" t="inlineStr"/>
      <c r="Z48" s="168" t="n"/>
      <c r="AA48" s="0" t="n">
        <v>41000</v>
      </c>
      <c r="AB48" s="0" t="n">
        <v>41000</v>
      </c>
      <c r="AC48" s="0" t="inlineStr"/>
      <c r="AG48" s="168" t="n"/>
      <c r="AI48" s="168" t="inlineStr"/>
      <c r="AK48" s="0" t="inlineStr"/>
      <c r="AM48" s="168" t="inlineStr"/>
      <c r="AO48" s="168" t="n"/>
      <c r="AP48" s="0" t="inlineStr"/>
    </row>
    <row r="49">
      <c r="A49" s="0" t="inlineStr">
        <is>
          <t>GoFood</t>
        </is>
      </c>
      <c r="B49" s="0" t="inlineStr">
        <is>
          <t>Superfood (test)</t>
        </is>
      </c>
      <c r="C49" s="0" t="inlineStr">
        <is>
          <t>F</t>
        </is>
      </c>
      <c r="D49" s="0" t="inlineStr">
        <is>
          <t>https://gofood.link/a/G828092803</t>
        </is>
      </c>
      <c r="E49" s="0" t="inlineStr">
        <is>
          <t>G828092803</t>
        </is>
      </c>
      <c r="F49" s="0" t="inlineStr">
        <is>
          <t>4af04c4e-8b18-4bfe-849f-6f7bfe569404</t>
        </is>
      </c>
      <c r="G49" s="0" t="inlineStr">
        <is>
          <t>Soto &amp; Sup</t>
        </is>
      </c>
      <c r="H49" s="0" t="inlineStr">
        <is>
          <t>392f9b1b-04ee-4e86-bdb9-feb15bf4388f</t>
        </is>
      </c>
      <c r="I49" s="0" t="inlineStr">
        <is>
          <t>Sop Ayam</t>
        </is>
      </c>
      <c r="J49" s="0" t="inlineStr"/>
      <c r="K49" s="0" t="inlineStr"/>
      <c r="L49" s="0" t="inlineStr"/>
      <c r="M49" s="0" t="inlineStr"/>
      <c r="N49" s="0" t="inlineStr"/>
      <c r="O49" s="0" t="n">
        <v>0</v>
      </c>
      <c r="P49" s="0" t="n">
        <v>0</v>
      </c>
      <c r="Q49" s="0" t="n">
        <v>0</v>
      </c>
      <c r="R49" s="0" t="inlineStr">
        <is>
          <t>Available</t>
        </is>
      </c>
      <c r="S49" s="0" t="inlineStr">
        <is>
          <t>Show</t>
        </is>
      </c>
      <c r="W49" s="0" t="inlineStr"/>
      <c r="X49" s="0" t="inlineStr"/>
      <c r="Z49" s="168" t="n"/>
      <c r="AA49" s="0" t="n">
        <v>26000</v>
      </c>
      <c r="AB49" s="0" t="n">
        <v>26000</v>
      </c>
      <c r="AC49" s="0" t="inlineStr"/>
      <c r="AG49" s="168" t="n"/>
      <c r="AI49" s="168" t="inlineStr"/>
      <c r="AK49" s="0" t="inlineStr"/>
      <c r="AM49" s="168" t="inlineStr"/>
      <c r="AO49" s="168" t="n"/>
      <c r="AP49" s="0" t="inlineStr"/>
    </row>
    <row r="50">
      <c r="A50" s="0" t="inlineStr">
        <is>
          <t>GoFood</t>
        </is>
      </c>
      <c r="B50" s="0" t="inlineStr">
        <is>
          <t>Superfood (test)</t>
        </is>
      </c>
      <c r="C50" s="0" t="inlineStr">
        <is>
          <t>F</t>
        </is>
      </c>
      <c r="D50" s="0" t="inlineStr">
        <is>
          <t>https://gofood.link/a/G828092803</t>
        </is>
      </c>
      <c r="E50" s="0" t="inlineStr">
        <is>
          <t>G828092803</t>
        </is>
      </c>
      <c r="F50" s="0" t="inlineStr">
        <is>
          <t>4af04c4e-8b18-4bfe-849f-6f7bfe569404</t>
        </is>
      </c>
      <c r="G50" s="0" t="inlineStr">
        <is>
          <t>Soto &amp; Sup</t>
        </is>
      </c>
      <c r="H50" s="0" t="inlineStr">
        <is>
          <t>ec2aefe2-e4c2-4201-b5ea-b25a0211a95f</t>
        </is>
      </c>
      <c r="I50" s="0" t="inlineStr">
        <is>
          <t>Sop Kimlo</t>
        </is>
      </c>
      <c r="J50" s="0" t="inlineStr"/>
      <c r="K50" s="0" t="inlineStr"/>
      <c r="L50" s="0" t="inlineStr"/>
      <c r="M50" s="0" t="inlineStr"/>
      <c r="N50" s="0" t="inlineStr"/>
      <c r="O50" s="0" t="n">
        <v>0</v>
      </c>
      <c r="P50" s="0" t="n">
        <v>0</v>
      </c>
      <c r="Q50" s="0" t="n">
        <v>0</v>
      </c>
      <c r="R50" s="0" t="inlineStr">
        <is>
          <t>Available</t>
        </is>
      </c>
      <c r="S50" s="0" t="inlineStr">
        <is>
          <t>Show</t>
        </is>
      </c>
      <c r="W50" s="0" t="inlineStr"/>
      <c r="X50" s="0" t="inlineStr"/>
      <c r="Z50" s="168" t="n"/>
      <c r="AA50" s="0" t="n">
        <v>26000</v>
      </c>
      <c r="AB50" s="0" t="n">
        <v>26000</v>
      </c>
      <c r="AC50" s="0" t="inlineStr"/>
      <c r="AG50" s="168" t="n"/>
      <c r="AI50" s="168" t="inlineStr"/>
      <c r="AK50" s="0" t="inlineStr"/>
      <c r="AM50" s="168" t="inlineStr"/>
      <c r="AO50" s="168" t="n"/>
      <c r="AP50" s="0" t="inlineStr"/>
    </row>
    <row r="51">
      <c r="A51" s="0" t="inlineStr">
        <is>
          <t>GoFood</t>
        </is>
      </c>
      <c r="B51" s="0" t="inlineStr">
        <is>
          <t>Superfood (test)</t>
        </is>
      </c>
      <c r="C51" s="0" t="inlineStr">
        <is>
          <t>F</t>
        </is>
      </c>
      <c r="D51" s="0" t="inlineStr">
        <is>
          <t>https://gofood.link/a/G828092803</t>
        </is>
      </c>
      <c r="E51" s="0" t="inlineStr">
        <is>
          <t>G828092803</t>
        </is>
      </c>
      <c r="F51" s="0" t="inlineStr">
        <is>
          <t>0c5d21a5-61c5-483f-9ddb-13bf62a65758</t>
        </is>
      </c>
      <c r="G51" s="0" t="inlineStr">
        <is>
          <t>Steak</t>
        </is>
      </c>
      <c r="H51" s="0" t="inlineStr">
        <is>
          <t>bbe601e8-9fc9-4839-a423-246b77b40f7c</t>
        </is>
      </c>
      <c r="I51" s="0" t="inlineStr">
        <is>
          <t>Steak Sapi Sirloin</t>
        </is>
      </c>
      <c r="J51" s="0" t="inlineStr"/>
      <c r="K51" s="0" t="inlineStr"/>
      <c r="L51" s="0" t="inlineStr"/>
      <c r="M51" s="0" t="inlineStr"/>
      <c r="N51" s="0" t="inlineStr"/>
      <c r="O51" s="0" t="n">
        <v>0</v>
      </c>
      <c r="P51" s="0" t="n">
        <v>0</v>
      </c>
      <c r="Q51" s="0" t="n">
        <v>0</v>
      </c>
      <c r="R51" s="0" t="inlineStr">
        <is>
          <t>Available</t>
        </is>
      </c>
      <c r="S51" s="0" t="inlineStr">
        <is>
          <t>Show</t>
        </is>
      </c>
      <c r="W51" s="0" t="inlineStr"/>
      <c r="X51" s="0" t="inlineStr"/>
      <c r="Z51" s="168" t="n"/>
      <c r="AA51" s="0" t="n">
        <v>61000</v>
      </c>
      <c r="AB51" s="0" t="n">
        <v>61000</v>
      </c>
      <c r="AC51" s="0" t="inlineStr"/>
      <c r="AG51" s="168" t="n"/>
      <c r="AI51" s="168" t="inlineStr"/>
      <c r="AK51" s="0" t="inlineStr"/>
      <c r="AM51" s="168" t="inlineStr"/>
      <c r="AO51" s="168" t="n"/>
      <c r="AP51" s="0" t="inlineStr"/>
    </row>
    <row r="52">
      <c r="A52" s="0" t="inlineStr">
        <is>
          <t>GoFood</t>
        </is>
      </c>
      <c r="B52" s="0" t="inlineStr">
        <is>
          <t>Superfood (test)</t>
        </is>
      </c>
      <c r="C52" s="0" t="inlineStr">
        <is>
          <t>F</t>
        </is>
      </c>
      <c r="D52" s="0" t="inlineStr">
        <is>
          <t>https://gofood.link/a/G828092803</t>
        </is>
      </c>
      <c r="E52" s="0" t="inlineStr">
        <is>
          <t>G828092803</t>
        </is>
      </c>
      <c r="F52" s="0" t="inlineStr">
        <is>
          <t>0c5d21a5-61c5-483f-9ddb-13bf62a65758</t>
        </is>
      </c>
      <c r="G52" s="0" t="inlineStr">
        <is>
          <t>Steak</t>
        </is>
      </c>
      <c r="H52" s="0" t="inlineStr">
        <is>
          <t>a97b08aa-4875-4ca8-9dc7-ba0f3de6d6d8</t>
        </is>
      </c>
      <c r="I52" s="0" t="inlineStr">
        <is>
          <t>Steak Ayam Lada Hitam</t>
        </is>
      </c>
      <c r="J52" s="0" t="inlineStr"/>
      <c r="K52" s="0" t="inlineStr"/>
      <c r="L52" s="0" t="inlineStr"/>
      <c r="M52" s="0" t="inlineStr"/>
      <c r="N52" s="0" t="inlineStr"/>
      <c r="O52" s="0" t="n">
        <v>0</v>
      </c>
      <c r="P52" s="0" t="n">
        <v>0</v>
      </c>
      <c r="Q52" s="0" t="n">
        <v>0</v>
      </c>
      <c r="R52" s="0" t="inlineStr">
        <is>
          <t>Available</t>
        </is>
      </c>
      <c r="S52" s="0" t="inlineStr">
        <is>
          <t>Show</t>
        </is>
      </c>
      <c r="W52" s="0" t="inlineStr"/>
      <c r="X52" s="0" t="inlineStr"/>
      <c r="Z52" s="168" t="n"/>
      <c r="AA52" s="0" t="n">
        <v>41000</v>
      </c>
      <c r="AB52" s="0" t="n">
        <v>41000</v>
      </c>
      <c r="AC52" s="0" t="inlineStr"/>
      <c r="AG52" s="168" t="n"/>
      <c r="AI52" s="168" t="inlineStr"/>
      <c r="AK52" s="0" t="inlineStr"/>
      <c r="AM52" s="168" t="inlineStr"/>
      <c r="AO52" s="168" t="n"/>
      <c r="AP52" s="0" t="inlineStr"/>
    </row>
    <row r="53">
      <c r="A53" s="0" t="inlineStr">
        <is>
          <t>GoFood</t>
        </is>
      </c>
      <c r="B53" s="0" t="inlineStr">
        <is>
          <t>Superfood (test)</t>
        </is>
      </c>
      <c r="C53" s="0" t="inlineStr">
        <is>
          <t>F</t>
        </is>
      </c>
      <c r="D53" s="0" t="inlineStr">
        <is>
          <t>https://gofood.link/a/G828092803</t>
        </is>
      </c>
      <c r="E53" s="0" t="inlineStr">
        <is>
          <t>G828092803</t>
        </is>
      </c>
      <c r="F53" s="0" t="inlineStr">
        <is>
          <t>0c5d21a5-61c5-483f-9ddb-13bf62a65758</t>
        </is>
      </c>
      <c r="G53" s="0" t="inlineStr">
        <is>
          <t>Steak</t>
        </is>
      </c>
      <c r="H53" s="0" t="inlineStr">
        <is>
          <t>d0704865-c197-4f92-bcab-0bb8f14c5ca8</t>
        </is>
      </c>
      <c r="I53" s="0" t="inlineStr">
        <is>
          <t>Steak Tenderloin</t>
        </is>
      </c>
      <c r="J53" s="0" t="inlineStr"/>
      <c r="K53" s="0" t="inlineStr"/>
      <c r="L53" s="0" t="inlineStr"/>
      <c r="M53" s="0" t="inlineStr"/>
      <c r="N53" s="0" t="inlineStr"/>
      <c r="O53" s="0" t="n">
        <v>0</v>
      </c>
      <c r="P53" s="0" t="n">
        <v>0</v>
      </c>
      <c r="Q53" s="0" t="n">
        <v>0</v>
      </c>
      <c r="R53" s="0" t="inlineStr">
        <is>
          <t>Available</t>
        </is>
      </c>
      <c r="S53" s="0" t="inlineStr">
        <is>
          <t>Show</t>
        </is>
      </c>
      <c r="W53" s="0" t="inlineStr"/>
      <c r="X53" s="0" t="inlineStr"/>
      <c r="Z53" s="168" t="n"/>
      <c r="AA53" s="0" t="n">
        <v>71000</v>
      </c>
      <c r="AB53" s="0" t="n">
        <v>71000</v>
      </c>
      <c r="AC53" s="0" t="inlineStr"/>
      <c r="AG53" s="168" t="n"/>
      <c r="AI53" s="168" t="inlineStr"/>
      <c r="AK53" s="0" t="inlineStr"/>
      <c r="AM53" s="168" t="inlineStr"/>
      <c r="AO53" s="168" t="n"/>
      <c r="AP53" s="0" t="inlineStr"/>
    </row>
    <row r="54">
      <c r="A54" s="0" t="inlineStr">
        <is>
          <t>GoFood</t>
        </is>
      </c>
      <c r="B54" s="0" t="inlineStr">
        <is>
          <t>Superfood (test)</t>
        </is>
      </c>
      <c r="C54" s="0" t="inlineStr">
        <is>
          <t>F</t>
        </is>
      </c>
      <c r="D54" s="0" t="inlineStr">
        <is>
          <t>https://gofood.link/a/G828092803</t>
        </is>
      </c>
      <c r="E54" s="0" t="inlineStr">
        <is>
          <t>G828092803</t>
        </is>
      </c>
      <c r="F54" s="0" t="inlineStr">
        <is>
          <t>0c5d21a5-61c5-483f-9ddb-13bf62a65758</t>
        </is>
      </c>
      <c r="G54" s="0" t="inlineStr">
        <is>
          <t>Steak</t>
        </is>
      </c>
      <c r="H54" s="0" t="inlineStr">
        <is>
          <t>480c317f-f847-4a06-8e42-d7ee346a46e5</t>
        </is>
      </c>
      <c r="I54" s="0" t="inlineStr">
        <is>
          <t>Steak Ayam Saus Jamur</t>
        </is>
      </c>
      <c r="J54" s="0" t="inlineStr"/>
      <c r="K54" s="0" t="inlineStr"/>
      <c r="L54" s="0" t="inlineStr"/>
      <c r="M54" s="0" t="inlineStr"/>
      <c r="N54" s="0" t="inlineStr"/>
      <c r="O54" s="0" t="n">
        <v>0</v>
      </c>
      <c r="P54" s="0" t="n">
        <v>0</v>
      </c>
      <c r="Q54" s="0" t="n">
        <v>0</v>
      </c>
      <c r="R54" s="0" t="inlineStr">
        <is>
          <t>Available</t>
        </is>
      </c>
      <c r="S54" s="0" t="inlineStr">
        <is>
          <t>Show</t>
        </is>
      </c>
      <c r="W54" s="0" t="inlineStr"/>
      <c r="X54" s="0" t="inlineStr"/>
      <c r="Z54" s="168" t="n"/>
      <c r="AA54" s="0" t="n">
        <v>41000</v>
      </c>
      <c r="AB54" s="0" t="n">
        <v>41000</v>
      </c>
      <c r="AC54" s="0" t="inlineStr"/>
      <c r="AG54" s="168" t="n"/>
      <c r="AI54" s="168" t="inlineStr"/>
      <c r="AK54" s="0" t="inlineStr"/>
      <c r="AM54" s="168" t="inlineStr"/>
      <c r="AO54" s="168" t="n"/>
      <c r="AP54" s="0" t="inlineStr"/>
    </row>
    <row r="55">
      <c r="A55" s="0" t="inlineStr">
        <is>
          <t>GoFood</t>
        </is>
      </c>
      <c r="B55" s="0" t="inlineStr">
        <is>
          <t>Superfood (test)</t>
        </is>
      </c>
      <c r="C55" s="0" t="inlineStr">
        <is>
          <t>F</t>
        </is>
      </c>
      <c r="D55" s="0" t="inlineStr">
        <is>
          <t>https://gofood.link/a/G828092803</t>
        </is>
      </c>
      <c r="E55" s="0" t="inlineStr">
        <is>
          <t>G828092803</t>
        </is>
      </c>
      <c r="F55" s="0" t="inlineStr">
        <is>
          <t>2f44ddc2-47eb-4acd-ab20-3c87911e8501</t>
        </is>
      </c>
      <c r="G55" s="0" t="inlineStr">
        <is>
          <t>Kopi</t>
        </is>
      </c>
      <c r="H55" s="0" t="inlineStr">
        <is>
          <t>999f2175-460f-41b4-9837-a2de5b2b176e</t>
        </is>
      </c>
      <c r="I55" s="0" t="inlineStr">
        <is>
          <t>Kopi Hitam</t>
        </is>
      </c>
      <c r="J55" s="0" t="inlineStr"/>
      <c r="K55" s="0" t="inlineStr"/>
      <c r="L55" s="0" t="inlineStr"/>
      <c r="M55" s="0" t="inlineStr"/>
      <c r="N55" s="0" t="inlineStr"/>
      <c r="O55" s="0" t="n">
        <v>0</v>
      </c>
      <c r="P55" s="0" t="n">
        <v>0</v>
      </c>
      <c r="Q55" s="0" t="n">
        <v>0</v>
      </c>
      <c r="R55" s="0" t="inlineStr">
        <is>
          <t>Available</t>
        </is>
      </c>
      <c r="S55" s="0" t="inlineStr">
        <is>
          <t>Show</t>
        </is>
      </c>
      <c r="W55" s="0" t="inlineStr"/>
      <c r="X55" s="0" t="inlineStr"/>
      <c r="Z55" s="168" t="n"/>
      <c r="AA55" s="0" t="n">
        <v>16000</v>
      </c>
      <c r="AB55" s="0" t="n">
        <v>16000</v>
      </c>
      <c r="AC55" s="0" t="inlineStr"/>
      <c r="AG55" s="168" t="n"/>
      <c r="AI55" s="168" t="inlineStr"/>
      <c r="AK55" s="0" t="inlineStr"/>
      <c r="AM55" s="168" t="inlineStr"/>
      <c r="AO55" s="168" t="n"/>
      <c r="AP55" s="0" t="inlineStr"/>
    </row>
    <row r="56">
      <c r="A56" s="0" t="inlineStr">
        <is>
          <t>GoFood</t>
        </is>
      </c>
      <c r="B56" s="0" t="inlineStr">
        <is>
          <t>Superfood (test)</t>
        </is>
      </c>
      <c r="C56" s="0" t="inlineStr">
        <is>
          <t>F</t>
        </is>
      </c>
      <c r="D56" s="0" t="inlineStr">
        <is>
          <t>https://gofood.link/a/G828092803</t>
        </is>
      </c>
      <c r="E56" s="0" t="inlineStr">
        <is>
          <t>G828092803</t>
        </is>
      </c>
      <c r="F56" s="0" t="inlineStr">
        <is>
          <t>2f44ddc2-47eb-4acd-ab20-3c87911e8501</t>
        </is>
      </c>
      <c r="G56" s="0" t="inlineStr">
        <is>
          <t>Kopi</t>
        </is>
      </c>
      <c r="H56" s="0" t="inlineStr">
        <is>
          <t>721c3b38-3cf5-41f3-b469-9a46089697c1</t>
        </is>
      </c>
      <c r="I56" s="0" t="inlineStr">
        <is>
          <t>Kopi Susu</t>
        </is>
      </c>
      <c r="J56" s="0" t="inlineStr"/>
      <c r="K56" s="0" t="inlineStr"/>
      <c r="L56" s="0" t="inlineStr"/>
      <c r="M56" s="0" t="inlineStr"/>
      <c r="N56" s="0" t="inlineStr"/>
      <c r="O56" s="0" t="n">
        <v>0</v>
      </c>
      <c r="P56" s="0" t="n">
        <v>0</v>
      </c>
      <c r="Q56" s="0" t="n">
        <v>0</v>
      </c>
      <c r="R56" s="0" t="inlineStr">
        <is>
          <t>Available</t>
        </is>
      </c>
      <c r="S56" s="0" t="inlineStr">
        <is>
          <t>Show</t>
        </is>
      </c>
      <c r="W56" s="0" t="inlineStr"/>
      <c r="X56" s="0" t="inlineStr"/>
      <c r="Z56" s="168" t="n"/>
      <c r="AA56" s="0" t="n">
        <v>21000</v>
      </c>
      <c r="AB56" s="0" t="n">
        <v>21000</v>
      </c>
      <c r="AC56" s="0" t="inlineStr"/>
      <c r="AG56" s="168" t="n"/>
      <c r="AI56" s="168" t="inlineStr"/>
      <c r="AK56" s="0" t="inlineStr"/>
      <c r="AM56" s="168" t="inlineStr"/>
      <c r="AO56" s="168" t="n"/>
      <c r="AP56" s="0" t="inlineStr"/>
    </row>
    <row r="57">
      <c r="A57" s="0" t="inlineStr">
        <is>
          <t>GoFood</t>
        </is>
      </c>
      <c r="B57" s="0" t="inlineStr">
        <is>
          <t>Superfood (test)</t>
        </is>
      </c>
      <c r="C57" s="0" t="inlineStr">
        <is>
          <t>F</t>
        </is>
      </c>
      <c r="D57" s="0" t="inlineStr">
        <is>
          <t>https://gofood.link/a/G828092803</t>
        </is>
      </c>
      <c r="E57" s="0" t="inlineStr">
        <is>
          <t>G828092803</t>
        </is>
      </c>
      <c r="F57" s="0" t="inlineStr">
        <is>
          <t>2f44ddc2-47eb-4acd-ab20-3c87911e8501</t>
        </is>
      </c>
      <c r="G57" s="0" t="inlineStr">
        <is>
          <t>Kopi</t>
        </is>
      </c>
      <c r="H57" s="0" t="inlineStr">
        <is>
          <t>ec5e0ba1-d9ed-4cf2-a7c6-8a17eeca5cc2</t>
        </is>
      </c>
      <c r="I57" s="0" t="inlineStr">
        <is>
          <t>Cappuccino</t>
        </is>
      </c>
      <c r="J57" s="0" t="inlineStr"/>
      <c r="K57" s="0" t="inlineStr"/>
      <c r="L57" s="0" t="inlineStr"/>
      <c r="M57" s="0" t="inlineStr"/>
      <c r="N57" s="0" t="inlineStr"/>
      <c r="O57" s="0" t="n">
        <v>0</v>
      </c>
      <c r="P57" s="0" t="n">
        <v>0</v>
      </c>
      <c r="Q57" s="0" t="n">
        <v>0</v>
      </c>
      <c r="R57" s="0" t="inlineStr">
        <is>
          <t>Available</t>
        </is>
      </c>
      <c r="S57" s="0" t="inlineStr">
        <is>
          <t>Show</t>
        </is>
      </c>
      <c r="W57" s="0" t="inlineStr"/>
      <c r="X57" s="0" t="inlineStr"/>
      <c r="Z57" s="168" t="n"/>
      <c r="AA57" s="0" t="n">
        <v>26000</v>
      </c>
      <c r="AB57" s="0" t="n">
        <v>26000</v>
      </c>
      <c r="AC57" s="0" t="inlineStr"/>
      <c r="AG57" s="168" t="n"/>
      <c r="AI57" s="168" t="inlineStr"/>
      <c r="AK57" s="0" t="inlineStr"/>
      <c r="AM57" s="168" t="inlineStr"/>
      <c r="AO57" s="168" t="n"/>
      <c r="AP57" s="0" t="inlineStr"/>
    </row>
    <row r="58">
      <c r="A58" s="0" t="inlineStr">
        <is>
          <t>GoFood</t>
        </is>
      </c>
      <c r="B58" s="0" t="inlineStr">
        <is>
          <t>Superfood (test)</t>
        </is>
      </c>
      <c r="C58" s="0" t="inlineStr">
        <is>
          <t>F</t>
        </is>
      </c>
      <c r="D58" s="0" t="inlineStr">
        <is>
          <t>https://gofood.link/a/G828092803</t>
        </is>
      </c>
      <c r="E58" s="0" t="inlineStr">
        <is>
          <t>G828092803</t>
        </is>
      </c>
      <c r="F58" s="0" t="inlineStr">
        <is>
          <t>2f44ddc2-47eb-4acd-ab20-3c87911e8501</t>
        </is>
      </c>
      <c r="G58" s="0" t="inlineStr">
        <is>
          <t>Kopi</t>
        </is>
      </c>
      <c r="H58" s="0" t="inlineStr">
        <is>
          <t>cbc8177e-39e3-4818-a3fb-f435929b86ec</t>
        </is>
      </c>
      <c r="I58" s="0" t="inlineStr">
        <is>
          <t>Latte</t>
        </is>
      </c>
      <c r="J58" s="0" t="inlineStr"/>
      <c r="K58" s="0" t="inlineStr"/>
      <c r="L58" s="0" t="inlineStr"/>
      <c r="M58" s="0" t="inlineStr"/>
      <c r="N58" s="0" t="inlineStr"/>
      <c r="O58" s="0" t="n">
        <v>0</v>
      </c>
      <c r="P58" s="0" t="n">
        <v>0</v>
      </c>
      <c r="Q58" s="0" t="n">
        <v>0</v>
      </c>
      <c r="R58" s="0" t="inlineStr">
        <is>
          <t>Available</t>
        </is>
      </c>
      <c r="S58" s="0" t="inlineStr">
        <is>
          <t>Show</t>
        </is>
      </c>
      <c r="W58" s="0" t="inlineStr"/>
      <c r="X58" s="0" t="inlineStr"/>
      <c r="Z58" s="168" t="n"/>
      <c r="AA58" s="0" t="n">
        <v>26000</v>
      </c>
      <c r="AB58" s="0" t="n">
        <v>26000</v>
      </c>
      <c r="AC58" s="0" t="inlineStr"/>
      <c r="AG58" s="168" t="n"/>
      <c r="AI58" s="168" t="inlineStr"/>
      <c r="AK58" s="0" t="inlineStr"/>
      <c r="AM58" s="168" t="inlineStr"/>
      <c r="AO58" s="168" t="n"/>
      <c r="AP58" s="0" t="inlineStr"/>
    </row>
    <row r="59">
      <c r="A59" s="0" t="inlineStr">
        <is>
          <t>GoFood</t>
        </is>
      </c>
      <c r="B59" s="0" t="inlineStr">
        <is>
          <t>Superfood (test)</t>
        </is>
      </c>
      <c r="C59" s="0" t="inlineStr">
        <is>
          <t>F</t>
        </is>
      </c>
      <c r="D59" s="0" t="inlineStr">
        <is>
          <t>https://gofood.link/a/G828092803</t>
        </is>
      </c>
      <c r="E59" s="0" t="inlineStr">
        <is>
          <t>G828092803</t>
        </is>
      </c>
      <c r="F59" s="0" t="inlineStr">
        <is>
          <t>2f44ddc2-47eb-4acd-ab20-3c87911e8501</t>
        </is>
      </c>
      <c r="G59" s="0" t="inlineStr">
        <is>
          <t>Kopi</t>
        </is>
      </c>
      <c r="H59" s="0" t="inlineStr">
        <is>
          <t>85015ce7-7185-4481-8d2e-38a143da952a</t>
        </is>
      </c>
      <c r="I59" s="0" t="inlineStr">
        <is>
          <t>Americano</t>
        </is>
      </c>
      <c r="J59" s="0" t="inlineStr"/>
      <c r="K59" s="0" t="inlineStr"/>
      <c r="L59" s="0" t="inlineStr"/>
      <c r="M59" s="0" t="inlineStr"/>
      <c r="N59" s="0" t="inlineStr"/>
      <c r="O59" s="0" t="n">
        <v>0</v>
      </c>
      <c r="P59" s="0" t="n">
        <v>0</v>
      </c>
      <c r="Q59" s="0" t="n">
        <v>0</v>
      </c>
      <c r="R59" s="0" t="inlineStr">
        <is>
          <t>Available</t>
        </is>
      </c>
      <c r="S59" s="0" t="inlineStr">
        <is>
          <t>Show</t>
        </is>
      </c>
      <c r="W59" s="0" t="inlineStr"/>
      <c r="X59" s="0" t="inlineStr"/>
      <c r="Z59" s="168" t="n"/>
      <c r="AA59" s="0" t="n">
        <v>24000</v>
      </c>
      <c r="AB59" s="0" t="n">
        <v>24000</v>
      </c>
      <c r="AC59" s="0" t="inlineStr"/>
      <c r="AG59" s="168" t="n"/>
      <c r="AI59" s="168" t="inlineStr"/>
      <c r="AK59" s="0" t="inlineStr"/>
      <c r="AM59" s="168" t="inlineStr"/>
      <c r="AO59" s="168" t="n"/>
      <c r="AP59" s="0" t="inlineStr"/>
    </row>
    <row r="60">
      <c r="A60" s="0" t="inlineStr">
        <is>
          <t>GoFood</t>
        </is>
      </c>
      <c r="B60" s="0" t="inlineStr">
        <is>
          <t>Superfood (test)</t>
        </is>
      </c>
      <c r="C60" s="0" t="inlineStr">
        <is>
          <t>F</t>
        </is>
      </c>
      <c r="D60" s="0" t="inlineStr">
        <is>
          <t>https://gofood.link/a/G828092803</t>
        </is>
      </c>
      <c r="E60" s="0" t="inlineStr">
        <is>
          <t>G828092803</t>
        </is>
      </c>
      <c r="F60" s="0" t="inlineStr">
        <is>
          <t>2f44ddc2-47eb-4acd-ab20-3c87911e8501</t>
        </is>
      </c>
      <c r="G60" s="0" t="inlineStr">
        <is>
          <t>Kopi</t>
        </is>
      </c>
      <c r="H60" s="0" t="inlineStr">
        <is>
          <t>4ae84848-334d-4253-9fdc-c19978e0952a</t>
        </is>
      </c>
      <c r="I60" s="0" t="inlineStr">
        <is>
          <t>Espresso</t>
        </is>
      </c>
      <c r="J60" s="0" t="inlineStr"/>
      <c r="K60" s="0" t="inlineStr"/>
      <c r="L60" s="0" t="inlineStr"/>
      <c r="M60" s="0" t="inlineStr"/>
      <c r="N60" s="0" t="inlineStr"/>
      <c r="O60" s="0" t="n">
        <v>0</v>
      </c>
      <c r="P60" s="0" t="n">
        <v>0</v>
      </c>
      <c r="Q60" s="0" t="n">
        <v>0</v>
      </c>
      <c r="R60" s="0" t="inlineStr">
        <is>
          <t>Available</t>
        </is>
      </c>
      <c r="S60" s="0" t="inlineStr">
        <is>
          <t>Show</t>
        </is>
      </c>
      <c r="W60" s="0" t="inlineStr"/>
      <c r="X60" s="0" t="inlineStr"/>
      <c r="Z60" s="168" t="n"/>
      <c r="AA60" s="0" t="n">
        <v>21000</v>
      </c>
      <c r="AB60" s="0" t="n">
        <v>21000</v>
      </c>
      <c r="AC60" s="0" t="inlineStr"/>
      <c r="AG60" s="168" t="n"/>
      <c r="AI60" s="168" t="inlineStr"/>
      <c r="AK60" s="0" t="inlineStr"/>
      <c r="AM60" s="168" t="inlineStr"/>
      <c r="AO60" s="168" t="n"/>
      <c r="AP60" s="0" t="inlineStr"/>
    </row>
    <row r="61">
      <c r="A61" s="0" t="inlineStr">
        <is>
          <t>GoFood</t>
        </is>
      </c>
      <c r="B61" s="0" t="inlineStr">
        <is>
          <t>Superfood (test)</t>
        </is>
      </c>
      <c r="C61" s="0" t="inlineStr">
        <is>
          <t>F</t>
        </is>
      </c>
      <c r="D61" s="0" t="inlineStr">
        <is>
          <t>https://gofood.link/a/G828092803</t>
        </is>
      </c>
      <c r="E61" s="0" t="inlineStr">
        <is>
          <t>G828092803</t>
        </is>
      </c>
      <c r="F61" s="0" t="inlineStr">
        <is>
          <t>2f44ddc2-47eb-4acd-ab20-3c87911e8501</t>
        </is>
      </c>
      <c r="G61" s="0" t="inlineStr">
        <is>
          <t>Kopi</t>
        </is>
      </c>
      <c r="H61" s="0" t="inlineStr">
        <is>
          <t>809d2bc0-351b-4d8f-91ca-f71aa1f7fd47</t>
        </is>
      </c>
      <c r="I61" s="0" t="inlineStr">
        <is>
          <t>Kopi Gula Aren</t>
        </is>
      </c>
      <c r="J61" s="0" t="inlineStr"/>
      <c r="K61" s="0" t="inlineStr"/>
      <c r="L61" s="0" t="inlineStr"/>
      <c r="M61" s="0" t="inlineStr"/>
      <c r="N61" s="0" t="inlineStr"/>
      <c r="O61" s="0" t="n">
        <v>0</v>
      </c>
      <c r="P61" s="0" t="n">
        <v>0</v>
      </c>
      <c r="Q61" s="0" t="n">
        <v>0</v>
      </c>
      <c r="R61" s="0" t="inlineStr">
        <is>
          <t>Available</t>
        </is>
      </c>
      <c r="S61" s="0" t="inlineStr">
        <is>
          <t>Show</t>
        </is>
      </c>
      <c r="W61" s="0" t="inlineStr"/>
      <c r="X61" s="0" t="inlineStr"/>
      <c r="Z61" s="168" t="n"/>
      <c r="AA61" s="0" t="n">
        <v>24000</v>
      </c>
      <c r="AB61" s="0" t="n">
        <v>24000</v>
      </c>
      <c r="AC61" s="0" t="inlineStr"/>
      <c r="AG61" s="168" t="n"/>
      <c r="AI61" s="168" t="inlineStr"/>
      <c r="AK61" s="0" t="inlineStr"/>
      <c r="AM61" s="168" t="inlineStr"/>
      <c r="AO61" s="168" t="n"/>
      <c r="AP61" s="0" t="inlineStr"/>
    </row>
    <row r="62">
      <c r="A62" s="0" t="inlineStr">
        <is>
          <t>GoFood</t>
        </is>
      </c>
      <c r="B62" s="0" t="inlineStr">
        <is>
          <t>Superfood (test)</t>
        </is>
      </c>
      <c r="C62" s="0" t="inlineStr">
        <is>
          <t>F</t>
        </is>
      </c>
      <c r="D62" s="0" t="inlineStr">
        <is>
          <t>https://gofood.link/a/G828092803</t>
        </is>
      </c>
      <c r="E62" s="0" t="inlineStr">
        <is>
          <t>G828092803</t>
        </is>
      </c>
      <c r="F62" s="0" t="inlineStr">
        <is>
          <t>2f44ddc2-47eb-4acd-ab20-3c87911e8501</t>
        </is>
      </c>
      <c r="G62" s="0" t="inlineStr">
        <is>
          <t>Kopi</t>
        </is>
      </c>
      <c r="H62" s="0" t="inlineStr">
        <is>
          <t>a9904d3f-773b-4f52-89f1-83208d4798e3</t>
        </is>
      </c>
      <c r="I62" s="0" t="inlineStr">
        <is>
          <t>Kopi Tubruk</t>
        </is>
      </c>
      <c r="J62" s="0" t="inlineStr"/>
      <c r="K62" s="0" t="inlineStr"/>
      <c r="L62" s="0" t="inlineStr"/>
      <c r="M62" s="0" t="inlineStr"/>
      <c r="N62" s="0" t="inlineStr"/>
      <c r="O62" s="0" t="n">
        <v>0</v>
      </c>
      <c r="P62" s="0" t="n">
        <v>0</v>
      </c>
      <c r="Q62" s="0" t="n">
        <v>0</v>
      </c>
      <c r="R62" s="0" t="inlineStr">
        <is>
          <t>Available</t>
        </is>
      </c>
      <c r="S62" s="0" t="inlineStr">
        <is>
          <t>Show</t>
        </is>
      </c>
      <c r="W62" s="0" t="inlineStr"/>
      <c r="X62" s="0" t="inlineStr"/>
      <c r="Z62" s="168" t="n"/>
      <c r="AA62" s="0" t="n">
        <v>11000</v>
      </c>
      <c r="AB62" s="0" t="n">
        <v>11000</v>
      </c>
      <c r="AC62" s="0" t="inlineStr"/>
      <c r="AG62" s="168" t="n"/>
      <c r="AI62" s="168" t="inlineStr"/>
      <c r="AK62" s="0" t="inlineStr"/>
      <c r="AM62" s="168" t="inlineStr"/>
      <c r="AO62" s="168" t="n"/>
      <c r="AP62" s="0" t="inlineStr"/>
    </row>
    <row r="63">
      <c r="A63" s="0" t="inlineStr">
        <is>
          <t>GoFood</t>
        </is>
      </c>
      <c r="B63" s="0" t="inlineStr">
        <is>
          <t>Superfood (test)</t>
        </is>
      </c>
      <c r="C63" s="0" t="inlineStr">
        <is>
          <t>F</t>
        </is>
      </c>
      <c r="D63" s="0" t="inlineStr">
        <is>
          <t>https://gofood.link/a/G828092803</t>
        </is>
      </c>
      <c r="E63" s="0" t="inlineStr">
        <is>
          <t>G828092803</t>
        </is>
      </c>
      <c r="F63" s="0" t="inlineStr">
        <is>
          <t>2f44ddc2-47eb-4acd-ab20-3c87911e8501</t>
        </is>
      </c>
      <c r="G63" s="0" t="inlineStr">
        <is>
          <t>Kopi</t>
        </is>
      </c>
      <c r="H63" s="0" t="inlineStr">
        <is>
          <t>8a7e2310-34db-4438-8774-e2fa45acc3a2</t>
        </is>
      </c>
      <c r="I63" s="0" t="inlineStr">
        <is>
          <t>Mocha</t>
        </is>
      </c>
      <c r="J63" s="0" t="inlineStr"/>
      <c r="K63" s="0" t="inlineStr"/>
      <c r="L63" s="0" t="inlineStr"/>
      <c r="M63" s="0" t="inlineStr"/>
      <c r="N63" s="0" t="inlineStr"/>
      <c r="O63" s="0" t="n">
        <v>0</v>
      </c>
      <c r="P63" s="0" t="n">
        <v>0</v>
      </c>
      <c r="Q63" s="0" t="n">
        <v>0</v>
      </c>
      <c r="R63" s="0" t="inlineStr">
        <is>
          <t>Available</t>
        </is>
      </c>
      <c r="S63" s="0" t="inlineStr">
        <is>
          <t>Show</t>
        </is>
      </c>
      <c r="W63" s="0" t="inlineStr"/>
      <c r="X63" s="0" t="inlineStr"/>
      <c r="Z63" s="168" t="n"/>
      <c r="AA63" s="0" t="n">
        <v>21000</v>
      </c>
      <c r="AB63" s="0" t="n">
        <v>21000</v>
      </c>
      <c r="AC63" s="0" t="inlineStr"/>
      <c r="AG63" s="168" t="n"/>
      <c r="AI63" s="168" t="inlineStr"/>
      <c r="AK63" s="0" t="inlineStr"/>
      <c r="AM63" s="168" t="inlineStr"/>
      <c r="AO63" s="168" t="n"/>
      <c r="AP63" s="0" t="inlineStr"/>
    </row>
    <row r="64">
      <c r="A64" s="0" t="inlineStr">
        <is>
          <t>GoFood</t>
        </is>
      </c>
      <c r="B64" s="0" t="inlineStr">
        <is>
          <t>Superfood (test)</t>
        </is>
      </c>
      <c r="C64" s="0" t="inlineStr">
        <is>
          <t>F</t>
        </is>
      </c>
      <c r="D64" s="0" t="inlineStr">
        <is>
          <t>https://gofood.link/a/G828092803</t>
        </is>
      </c>
      <c r="E64" s="0" t="inlineStr">
        <is>
          <t>G828092803</t>
        </is>
      </c>
      <c r="F64" s="0" t="inlineStr">
        <is>
          <t>2f44ddc2-47eb-4acd-ab20-3c87911e8501</t>
        </is>
      </c>
      <c r="G64" s="0" t="inlineStr">
        <is>
          <t>Kopi</t>
        </is>
      </c>
      <c r="H64" s="0" t="inlineStr">
        <is>
          <t>cf2d9740-ba9f-4cc3-a34b-88a77e2be3fe</t>
        </is>
      </c>
      <c r="I64" s="0" t="inlineStr">
        <is>
          <t>Affogato</t>
        </is>
      </c>
      <c r="J64" s="0" t="inlineStr"/>
      <c r="K64" s="0" t="inlineStr"/>
      <c r="L64" s="0" t="inlineStr"/>
      <c r="M64" s="0" t="inlineStr"/>
      <c r="N64" s="0" t="inlineStr"/>
      <c r="O64" s="0" t="n">
        <v>0</v>
      </c>
      <c r="P64" s="0" t="n">
        <v>0</v>
      </c>
      <c r="Q64" s="0" t="n">
        <v>0</v>
      </c>
      <c r="R64" s="0" t="inlineStr">
        <is>
          <t>Available</t>
        </is>
      </c>
      <c r="S64" s="0" t="inlineStr">
        <is>
          <t>Show</t>
        </is>
      </c>
      <c r="W64" s="0" t="inlineStr"/>
      <c r="X64" s="0" t="inlineStr"/>
      <c r="Z64" s="168" t="n"/>
      <c r="AA64" s="0" t="n">
        <v>26000</v>
      </c>
      <c r="AB64" s="0" t="n">
        <v>26000</v>
      </c>
      <c r="AC64" s="0" t="inlineStr"/>
      <c r="AG64" s="168" t="n"/>
      <c r="AI64" s="168" t="inlineStr"/>
      <c r="AK64" s="0" t="inlineStr"/>
      <c r="AM64" s="168" t="inlineStr"/>
      <c r="AO64" s="168" t="n"/>
      <c r="AP64" s="0" t="inlineStr"/>
    </row>
    <row r="65">
      <c r="A65" s="0" t="inlineStr">
        <is>
          <t>GoFood</t>
        </is>
      </c>
      <c r="B65" s="0" t="inlineStr">
        <is>
          <t>Superfood (test)</t>
        </is>
      </c>
      <c r="C65" s="0" t="inlineStr">
        <is>
          <t>F</t>
        </is>
      </c>
      <c r="D65" s="0" t="inlineStr">
        <is>
          <t>https://gofood.link/a/G828092803</t>
        </is>
      </c>
      <c r="E65" s="0" t="inlineStr">
        <is>
          <t>G828092803</t>
        </is>
      </c>
      <c r="F65" s="0" t="inlineStr">
        <is>
          <t>887a9b87-c646-4cae-b40f-e6ef057d7761</t>
        </is>
      </c>
      <c r="G65" s="0" t="inlineStr">
        <is>
          <t>Teh</t>
        </is>
      </c>
      <c r="H65" s="0" t="inlineStr">
        <is>
          <t>a32a0143-e69e-4697-ad9c-b5b5f11ae0fc</t>
        </is>
      </c>
      <c r="I65" s="0" t="inlineStr">
        <is>
          <t>Teh Manis</t>
        </is>
      </c>
      <c r="J65" s="0" t="inlineStr"/>
      <c r="K65" s="0" t="inlineStr"/>
      <c r="L65" s="0" t="inlineStr"/>
      <c r="M65" s="0" t="inlineStr"/>
      <c r="N65" s="0" t="inlineStr"/>
      <c r="O65" s="0" t="n">
        <v>0</v>
      </c>
      <c r="P65" s="0" t="n">
        <v>0</v>
      </c>
      <c r="Q65" s="0" t="n">
        <v>0</v>
      </c>
      <c r="R65" s="0" t="inlineStr">
        <is>
          <t>Available</t>
        </is>
      </c>
      <c r="S65" s="0" t="inlineStr">
        <is>
          <t>Show</t>
        </is>
      </c>
      <c r="W65" s="0" t="inlineStr"/>
      <c r="X65" s="0" t="inlineStr"/>
      <c r="Z65" s="168" t="n"/>
      <c r="AA65" s="0" t="n">
        <v>9000</v>
      </c>
      <c r="AB65" s="0" t="n">
        <v>9000</v>
      </c>
      <c r="AC65" s="0" t="inlineStr"/>
      <c r="AG65" s="168" t="n"/>
      <c r="AI65" s="168" t="inlineStr"/>
      <c r="AK65" s="0" t="inlineStr"/>
      <c r="AM65" s="168" t="inlineStr"/>
      <c r="AO65" s="168" t="n"/>
      <c r="AP65" s="0" t="inlineStr"/>
    </row>
    <row r="66">
      <c r="A66" s="0" t="inlineStr">
        <is>
          <t>GoFood</t>
        </is>
      </c>
      <c r="B66" s="0" t="inlineStr">
        <is>
          <t>Superfood (test)</t>
        </is>
      </c>
      <c r="C66" s="0" t="inlineStr">
        <is>
          <t>F</t>
        </is>
      </c>
      <c r="D66" s="0" t="inlineStr">
        <is>
          <t>https://gofood.link/a/G828092803</t>
        </is>
      </c>
      <c r="E66" s="0" t="inlineStr">
        <is>
          <t>G828092803</t>
        </is>
      </c>
      <c r="F66" s="0" t="inlineStr">
        <is>
          <t>887a9b87-c646-4cae-b40f-e6ef057d7761</t>
        </is>
      </c>
      <c r="G66" s="0" t="inlineStr">
        <is>
          <t>Teh</t>
        </is>
      </c>
      <c r="H66" s="0" t="inlineStr">
        <is>
          <t>a657fdf4-27f3-4cc6-a578-237121752352</t>
        </is>
      </c>
      <c r="I66" s="0" t="inlineStr">
        <is>
          <t>Teh Tawar</t>
        </is>
      </c>
      <c r="J66" s="0" t="inlineStr"/>
      <c r="K66" s="0" t="inlineStr"/>
      <c r="L66" s="0" t="inlineStr"/>
      <c r="M66" s="0" t="inlineStr"/>
      <c r="N66" s="0" t="inlineStr"/>
      <c r="O66" s="0" t="n">
        <v>0</v>
      </c>
      <c r="P66" s="0" t="n">
        <v>0</v>
      </c>
      <c r="Q66" s="0" t="n">
        <v>0</v>
      </c>
      <c r="R66" s="0" t="inlineStr">
        <is>
          <t>Available</t>
        </is>
      </c>
      <c r="S66" s="0" t="inlineStr">
        <is>
          <t>Show</t>
        </is>
      </c>
      <c r="W66" s="0" t="inlineStr"/>
      <c r="X66" s="0" t="inlineStr"/>
      <c r="Z66" s="168" t="n"/>
      <c r="AA66" s="0" t="n">
        <v>6000</v>
      </c>
      <c r="AB66" s="0" t="n">
        <v>6000</v>
      </c>
      <c r="AC66" s="0" t="inlineStr"/>
      <c r="AG66" s="168" t="n"/>
      <c r="AI66" s="168" t="inlineStr"/>
      <c r="AK66" s="0" t="inlineStr"/>
      <c r="AM66" s="168" t="inlineStr"/>
      <c r="AO66" s="168" t="n"/>
      <c r="AP66" s="0" t="inlineStr"/>
    </row>
    <row r="67">
      <c r="A67" s="0" t="inlineStr">
        <is>
          <t>GoFood</t>
        </is>
      </c>
      <c r="B67" s="0" t="inlineStr">
        <is>
          <t>Superfood (test)</t>
        </is>
      </c>
      <c r="C67" s="0" t="inlineStr">
        <is>
          <t>F</t>
        </is>
      </c>
      <c r="D67" s="0" t="inlineStr">
        <is>
          <t>https://gofood.link/a/G828092803</t>
        </is>
      </c>
      <c r="E67" s="0" t="inlineStr">
        <is>
          <t>G828092803</t>
        </is>
      </c>
      <c r="F67" s="0" t="inlineStr">
        <is>
          <t>887a9b87-c646-4cae-b40f-e6ef057d7761</t>
        </is>
      </c>
      <c r="G67" s="0" t="inlineStr">
        <is>
          <t>Teh</t>
        </is>
      </c>
      <c r="H67" s="0" t="inlineStr">
        <is>
          <t>fab616e8-5037-44cc-8798-b53fdfa879ff</t>
        </is>
      </c>
      <c r="I67" s="0" t="inlineStr">
        <is>
          <t>Es Teh Lemon</t>
        </is>
      </c>
      <c r="J67" s="0" t="inlineStr"/>
      <c r="K67" s="0" t="inlineStr"/>
      <c r="L67" s="0" t="inlineStr"/>
      <c r="M67" s="0" t="inlineStr"/>
      <c r="N67" s="0" t="inlineStr"/>
      <c r="O67" s="0" t="n">
        <v>0</v>
      </c>
      <c r="P67" s="0" t="n">
        <v>0</v>
      </c>
      <c r="Q67" s="0" t="n">
        <v>0</v>
      </c>
      <c r="R67" s="0" t="inlineStr">
        <is>
          <t>Available</t>
        </is>
      </c>
      <c r="S67" s="0" t="inlineStr">
        <is>
          <t>Show</t>
        </is>
      </c>
      <c r="W67" s="0" t="inlineStr"/>
      <c r="X67" s="0" t="inlineStr"/>
      <c r="Z67" s="168" t="n"/>
      <c r="AA67" s="0" t="n">
        <v>11000</v>
      </c>
      <c r="AB67" s="0" t="n">
        <v>11000</v>
      </c>
      <c r="AC67" s="0" t="inlineStr"/>
      <c r="AG67" s="168" t="n"/>
      <c r="AI67" s="168" t="inlineStr"/>
      <c r="AK67" s="0" t="inlineStr"/>
      <c r="AM67" s="168" t="inlineStr"/>
      <c r="AO67" s="168" t="n"/>
      <c r="AP67" s="0" t="inlineStr"/>
    </row>
    <row r="68">
      <c r="A68" s="0" t="inlineStr">
        <is>
          <t>GoFood</t>
        </is>
      </c>
      <c r="B68" s="0" t="inlineStr">
        <is>
          <t>Superfood (test)</t>
        </is>
      </c>
      <c r="C68" s="0" t="inlineStr">
        <is>
          <t>F</t>
        </is>
      </c>
      <c r="D68" s="0" t="inlineStr">
        <is>
          <t>https://gofood.link/a/G828092803</t>
        </is>
      </c>
      <c r="E68" s="0" t="inlineStr">
        <is>
          <t>G828092803</t>
        </is>
      </c>
      <c r="F68" s="0" t="inlineStr">
        <is>
          <t>887a9b87-c646-4cae-b40f-e6ef057d7761</t>
        </is>
      </c>
      <c r="G68" s="0" t="inlineStr">
        <is>
          <t>Teh</t>
        </is>
      </c>
      <c r="H68" s="0" t="inlineStr">
        <is>
          <t>5aae3538-0ca6-4455-b6cc-25ae16dae9e8</t>
        </is>
      </c>
      <c r="I68" s="0" t="inlineStr">
        <is>
          <t>Teh Tarik</t>
        </is>
      </c>
      <c r="J68" s="0" t="inlineStr"/>
      <c r="K68" s="0" t="inlineStr"/>
      <c r="L68" s="0" t="inlineStr"/>
      <c r="M68" s="0" t="inlineStr"/>
      <c r="N68" s="0" t="inlineStr"/>
      <c r="O68" s="0" t="n">
        <v>0</v>
      </c>
      <c r="P68" s="0" t="n">
        <v>0</v>
      </c>
      <c r="Q68" s="0" t="n">
        <v>0</v>
      </c>
      <c r="R68" s="0" t="inlineStr">
        <is>
          <t>Available</t>
        </is>
      </c>
      <c r="S68" s="0" t="inlineStr">
        <is>
          <t>Show</t>
        </is>
      </c>
      <c r="W68" s="0" t="inlineStr"/>
      <c r="X68" s="0" t="inlineStr"/>
      <c r="Z68" s="168" t="n"/>
      <c r="AA68" s="0" t="n">
        <v>13000</v>
      </c>
      <c r="AB68" s="0" t="n">
        <v>13000</v>
      </c>
      <c r="AC68" s="0" t="inlineStr"/>
      <c r="AG68" s="168" t="n"/>
      <c r="AI68" s="168" t="inlineStr"/>
      <c r="AK68" s="0" t="inlineStr"/>
      <c r="AM68" s="168" t="inlineStr"/>
      <c r="AO68" s="168" t="n"/>
      <c r="AP68" s="0" t="inlineStr"/>
    </row>
    <row r="69">
      <c r="A69" s="0" t="inlineStr">
        <is>
          <t>GoFood</t>
        </is>
      </c>
      <c r="B69" s="0" t="inlineStr">
        <is>
          <t>Superfood (test)</t>
        </is>
      </c>
      <c r="C69" s="0" t="inlineStr">
        <is>
          <t>F</t>
        </is>
      </c>
      <c r="D69" s="0" t="inlineStr">
        <is>
          <t>https://gofood.link/a/G828092803</t>
        </is>
      </c>
      <c r="E69" s="0" t="inlineStr">
        <is>
          <t>G828092803</t>
        </is>
      </c>
      <c r="F69" s="0" t="inlineStr">
        <is>
          <t>887a9b87-c646-4cae-b40f-e6ef057d7761</t>
        </is>
      </c>
      <c r="G69" s="0" t="inlineStr">
        <is>
          <t>Teh</t>
        </is>
      </c>
      <c r="H69" s="0" t="inlineStr">
        <is>
          <t>bbd3410c-246a-4576-abce-f9003afcedfa</t>
        </is>
      </c>
      <c r="I69" s="0" t="inlineStr">
        <is>
          <t>Lemon Tea</t>
        </is>
      </c>
      <c r="J69" s="0" t="inlineStr"/>
      <c r="K69" s="0" t="inlineStr"/>
      <c r="L69" s="0" t="inlineStr"/>
      <c r="M69" s="0" t="inlineStr"/>
      <c r="N69" s="0" t="inlineStr"/>
      <c r="O69" s="0" t="n">
        <v>0</v>
      </c>
      <c r="P69" s="0" t="n">
        <v>0</v>
      </c>
      <c r="Q69" s="0" t="n">
        <v>0</v>
      </c>
      <c r="R69" s="0" t="inlineStr">
        <is>
          <t>Available</t>
        </is>
      </c>
      <c r="S69" s="0" t="inlineStr">
        <is>
          <t>Show</t>
        </is>
      </c>
      <c r="W69" s="0" t="inlineStr"/>
      <c r="X69" s="0" t="inlineStr"/>
      <c r="Z69" s="168" t="n"/>
      <c r="AA69" s="0" t="n">
        <v>14000</v>
      </c>
      <c r="AB69" s="0" t="n">
        <v>14000</v>
      </c>
      <c r="AC69" s="0" t="inlineStr"/>
      <c r="AG69" s="168" t="n"/>
      <c r="AI69" s="168" t="inlineStr"/>
      <c r="AK69" s="0" t="inlineStr"/>
      <c r="AM69" s="168" t="inlineStr"/>
      <c r="AO69" s="168" t="n"/>
      <c r="AP69" s="0" t="inlineStr"/>
    </row>
    <row r="70">
      <c r="A70" s="0" t="inlineStr">
        <is>
          <t>GoFood</t>
        </is>
      </c>
      <c r="B70" s="0" t="inlineStr">
        <is>
          <t>Superfood (test)</t>
        </is>
      </c>
      <c r="C70" s="0" t="inlineStr">
        <is>
          <t>F</t>
        </is>
      </c>
      <c r="D70" s="0" t="inlineStr">
        <is>
          <t>https://gofood.link/a/G828092803</t>
        </is>
      </c>
      <c r="E70" s="0" t="inlineStr">
        <is>
          <t>G828092803</t>
        </is>
      </c>
      <c r="F70" s="0" t="inlineStr">
        <is>
          <t>887a9b87-c646-4cae-b40f-e6ef057d7761</t>
        </is>
      </c>
      <c r="G70" s="0" t="inlineStr">
        <is>
          <t>Teh</t>
        </is>
      </c>
      <c r="H70" s="0" t="inlineStr">
        <is>
          <t>f29ee01b-c8cf-4f80-b842-0a314f025561</t>
        </is>
      </c>
      <c r="I70" s="0" t="inlineStr">
        <is>
          <t>Thai Tea</t>
        </is>
      </c>
      <c r="J70" s="0" t="inlineStr"/>
      <c r="K70" s="0" t="inlineStr"/>
      <c r="L70" s="0" t="inlineStr"/>
      <c r="M70" s="0" t="inlineStr"/>
      <c r="N70" s="0" t="inlineStr"/>
      <c r="O70" s="0" t="n">
        <v>0</v>
      </c>
      <c r="P70" s="0" t="n">
        <v>0</v>
      </c>
      <c r="Q70" s="0" t="n">
        <v>0</v>
      </c>
      <c r="R70" s="0" t="inlineStr">
        <is>
          <t>Available</t>
        </is>
      </c>
      <c r="S70" s="0" t="inlineStr">
        <is>
          <t>Show</t>
        </is>
      </c>
      <c r="W70" s="0" t="inlineStr"/>
      <c r="X70" s="0" t="inlineStr"/>
      <c r="Z70" s="168" t="n"/>
      <c r="AA70" s="0" t="n">
        <v>17000</v>
      </c>
      <c r="AB70" s="0" t="n">
        <v>17000</v>
      </c>
      <c r="AC70" s="0" t="inlineStr"/>
      <c r="AG70" s="168" t="n"/>
      <c r="AI70" s="168" t="inlineStr"/>
      <c r="AK70" s="0" t="inlineStr"/>
      <c r="AM70" s="168" t="inlineStr"/>
      <c r="AO70" s="168" t="n"/>
      <c r="AP70" s="0" t="inlineStr"/>
    </row>
    <row r="71">
      <c r="A71" s="0" t="inlineStr">
        <is>
          <t>GoFood</t>
        </is>
      </c>
      <c r="B71" s="0" t="inlineStr">
        <is>
          <t>Superfood (test)</t>
        </is>
      </c>
      <c r="C71" s="0" t="inlineStr">
        <is>
          <t>F</t>
        </is>
      </c>
      <c r="D71" s="0" t="inlineStr">
        <is>
          <t>https://gofood.link/a/G828092803</t>
        </is>
      </c>
      <c r="E71" s="0" t="inlineStr">
        <is>
          <t>G828092803</t>
        </is>
      </c>
      <c r="F71" s="0" t="inlineStr">
        <is>
          <t>d277521b-df71-48ce-9ff3-dc633060daf5</t>
        </is>
      </c>
      <c r="G71" s="0" t="inlineStr">
        <is>
          <t>Roti &amp; Bakery</t>
        </is>
      </c>
      <c r="H71" s="0" t="inlineStr">
        <is>
          <t>827a1ccc-05d3-4784-9fdc-ab16eb2bcab1</t>
        </is>
      </c>
      <c r="I71" s="0" t="inlineStr">
        <is>
          <t>Croissant Coklat</t>
        </is>
      </c>
      <c r="J71" s="0" t="inlineStr"/>
      <c r="K71" s="0" t="inlineStr"/>
      <c r="L71" s="0" t="inlineStr"/>
      <c r="M71" s="0" t="inlineStr"/>
      <c r="N71" s="0" t="inlineStr"/>
      <c r="O71" s="0" t="n">
        <v>0</v>
      </c>
      <c r="P71" s="0" t="n">
        <v>0</v>
      </c>
      <c r="Q71" s="0" t="n">
        <v>0</v>
      </c>
      <c r="R71" s="0" t="inlineStr">
        <is>
          <t>Available</t>
        </is>
      </c>
      <c r="S71" s="0" t="inlineStr">
        <is>
          <t>Show</t>
        </is>
      </c>
      <c r="W71" s="0" t="inlineStr"/>
      <c r="X71" s="0" t="inlineStr"/>
      <c r="Z71" s="168" t="n"/>
      <c r="AA71" s="0" t="n">
        <v>20000</v>
      </c>
      <c r="AB71" s="0" t="n">
        <v>20000</v>
      </c>
      <c r="AC71" s="0" t="inlineStr"/>
      <c r="AG71" s="168" t="n"/>
      <c r="AI71" s="168" t="inlineStr"/>
      <c r="AK71" s="0" t="inlineStr"/>
      <c r="AM71" s="168" t="inlineStr"/>
      <c r="AO71" s="168" t="n"/>
      <c r="AP71" s="0" t="inlineStr"/>
    </row>
    <row r="72">
      <c r="A72" s="0" t="inlineStr">
        <is>
          <t>GoFood</t>
        </is>
      </c>
      <c r="B72" s="0" t="inlineStr">
        <is>
          <t>Superfood (test)</t>
        </is>
      </c>
      <c r="C72" s="0" t="inlineStr">
        <is>
          <t>F</t>
        </is>
      </c>
      <c r="D72" s="0" t="inlineStr">
        <is>
          <t>https://gofood.link/a/G828092803</t>
        </is>
      </c>
      <c r="E72" s="0" t="inlineStr">
        <is>
          <t>G828092803</t>
        </is>
      </c>
      <c r="F72" s="0" t="inlineStr">
        <is>
          <t>d277521b-df71-48ce-9ff3-dc633060daf5</t>
        </is>
      </c>
      <c r="G72" s="0" t="inlineStr">
        <is>
          <t>Roti &amp; Bakery</t>
        </is>
      </c>
      <c r="H72" s="0" t="inlineStr">
        <is>
          <t>ae188f21-28f8-47ba-a8df-62a8a1d4b9a0</t>
        </is>
      </c>
      <c r="I72" s="0" t="inlineStr">
        <is>
          <t>Croissant Keju</t>
        </is>
      </c>
      <c r="J72" s="0" t="inlineStr"/>
      <c r="K72" s="0" t="inlineStr"/>
      <c r="L72" s="0" t="inlineStr"/>
      <c r="M72" s="0" t="inlineStr"/>
      <c r="N72" s="0" t="inlineStr"/>
      <c r="O72" s="0" t="n">
        <v>0</v>
      </c>
      <c r="P72" s="0" t="n">
        <v>0</v>
      </c>
      <c r="Q72" s="0" t="n">
        <v>0</v>
      </c>
      <c r="R72" s="0" t="inlineStr">
        <is>
          <t>Available</t>
        </is>
      </c>
      <c r="S72" s="0" t="inlineStr">
        <is>
          <t>Show</t>
        </is>
      </c>
      <c r="W72" s="0" t="inlineStr"/>
      <c r="X72" s="0" t="inlineStr"/>
      <c r="Z72" s="168" t="n"/>
      <c r="AA72" s="0" t="n">
        <v>20000</v>
      </c>
      <c r="AB72" s="0" t="n">
        <v>20000</v>
      </c>
      <c r="AC72" s="0" t="inlineStr"/>
      <c r="AG72" s="168" t="n"/>
      <c r="AI72" s="168" t="inlineStr"/>
      <c r="AK72" s="0" t="inlineStr"/>
      <c r="AM72" s="168" t="inlineStr"/>
      <c r="AO72" s="168" t="n"/>
      <c r="AP72" s="0" t="inlineStr"/>
    </row>
    <row r="73">
      <c r="A73" s="0" t="inlineStr">
        <is>
          <t>GoFood</t>
        </is>
      </c>
      <c r="B73" s="0" t="inlineStr">
        <is>
          <t>Superfood (test)</t>
        </is>
      </c>
      <c r="C73" s="0" t="inlineStr">
        <is>
          <t>F</t>
        </is>
      </c>
      <c r="D73" s="0" t="inlineStr">
        <is>
          <t>https://gofood.link/a/G828092803</t>
        </is>
      </c>
      <c r="E73" s="0" t="inlineStr">
        <is>
          <t>G828092803</t>
        </is>
      </c>
      <c r="F73" s="0" t="inlineStr">
        <is>
          <t>d277521b-df71-48ce-9ff3-dc633060daf5</t>
        </is>
      </c>
      <c r="G73" s="0" t="inlineStr">
        <is>
          <t>Roti &amp; Bakery</t>
        </is>
      </c>
      <c r="H73" s="0" t="inlineStr">
        <is>
          <t>ea1d77df-7e94-4011-877a-ad523a07d795</t>
        </is>
      </c>
      <c r="I73" s="0" t="inlineStr">
        <is>
          <t>Donat Coklat</t>
        </is>
      </c>
      <c r="J73" s="0" t="inlineStr"/>
      <c r="K73" s="0" t="inlineStr"/>
      <c r="L73" s="0" t="inlineStr"/>
      <c r="M73" s="0" t="inlineStr"/>
      <c r="N73" s="0" t="inlineStr"/>
      <c r="O73" s="0" t="n">
        <v>0</v>
      </c>
      <c r="P73" s="0" t="n">
        <v>0</v>
      </c>
      <c r="Q73" s="0" t="n">
        <v>0</v>
      </c>
      <c r="R73" s="0" t="inlineStr">
        <is>
          <t>Available</t>
        </is>
      </c>
      <c r="S73" s="0" t="inlineStr">
        <is>
          <t>Show</t>
        </is>
      </c>
      <c r="W73" s="0" t="inlineStr"/>
      <c r="X73" s="0" t="inlineStr"/>
      <c r="Z73" s="168" t="n"/>
      <c r="AA73" s="0" t="n">
        <v>10000</v>
      </c>
      <c r="AB73" s="0" t="n">
        <v>10000</v>
      </c>
      <c r="AC73" s="0" t="inlineStr"/>
      <c r="AG73" s="168" t="n"/>
      <c r="AI73" s="168" t="inlineStr"/>
      <c r="AK73" s="0" t="inlineStr"/>
      <c r="AM73" s="168" t="inlineStr"/>
      <c r="AO73" s="168" t="n"/>
      <c r="AP73" s="0" t="inlineStr"/>
    </row>
    <row r="74">
      <c r="A74" s="0" t="inlineStr">
        <is>
          <t>GoFood</t>
        </is>
      </c>
      <c r="B74" s="0" t="inlineStr">
        <is>
          <t>Superfood (test)</t>
        </is>
      </c>
      <c r="C74" s="0" t="inlineStr">
        <is>
          <t>F</t>
        </is>
      </c>
      <c r="D74" s="0" t="inlineStr">
        <is>
          <t>https://gofood.link/a/G828092803</t>
        </is>
      </c>
      <c r="E74" s="0" t="inlineStr">
        <is>
          <t>G828092803</t>
        </is>
      </c>
      <c r="F74" s="0" t="inlineStr">
        <is>
          <t>d277521b-df71-48ce-9ff3-dc633060daf5</t>
        </is>
      </c>
      <c r="G74" s="0" t="inlineStr">
        <is>
          <t>Roti &amp; Bakery</t>
        </is>
      </c>
      <c r="H74" s="0" t="inlineStr">
        <is>
          <t>cfe70305-d693-495d-8eff-35c2b43f9ebd</t>
        </is>
      </c>
      <c r="I74" s="0" t="inlineStr">
        <is>
          <t>Donat Gula</t>
        </is>
      </c>
      <c r="J74" s="0" t="inlineStr"/>
      <c r="K74" s="0" t="inlineStr"/>
      <c r="L74" s="0" t="inlineStr"/>
      <c r="M74" s="0" t="inlineStr"/>
      <c r="N74" s="0" t="inlineStr"/>
      <c r="O74" s="0" t="n">
        <v>0</v>
      </c>
      <c r="P74" s="0" t="n">
        <v>0</v>
      </c>
      <c r="Q74" s="0" t="n">
        <v>0</v>
      </c>
      <c r="R74" s="0" t="inlineStr">
        <is>
          <t>Available</t>
        </is>
      </c>
      <c r="S74" s="0" t="inlineStr">
        <is>
          <t>Show</t>
        </is>
      </c>
      <c r="W74" s="0" t="inlineStr"/>
      <c r="X74" s="0" t="inlineStr"/>
      <c r="Z74" s="168" t="n"/>
      <c r="AA74" s="0" t="n">
        <v>9000</v>
      </c>
      <c r="AB74" s="0" t="n">
        <v>9000</v>
      </c>
      <c r="AC74" s="0" t="inlineStr"/>
      <c r="AG74" s="168" t="n"/>
      <c r="AI74" s="168" t="inlineStr"/>
      <c r="AK74" s="0" t="inlineStr"/>
      <c r="AM74" s="168" t="inlineStr"/>
      <c r="AO74" s="168" t="n"/>
      <c r="AP74" s="0" t="inlineStr"/>
    </row>
    <row r="75">
      <c r="A75" s="0" t="inlineStr">
        <is>
          <t>GoFood</t>
        </is>
      </c>
      <c r="B75" s="0" t="inlineStr">
        <is>
          <t>Superfood (test)</t>
        </is>
      </c>
      <c r="C75" s="0" t="inlineStr">
        <is>
          <t>F</t>
        </is>
      </c>
      <c r="D75" s="0" t="inlineStr">
        <is>
          <t>https://gofood.link/a/G828092803</t>
        </is>
      </c>
      <c r="E75" s="0" t="inlineStr">
        <is>
          <t>G828092803</t>
        </is>
      </c>
      <c r="F75" s="0" t="inlineStr">
        <is>
          <t>d277521b-df71-48ce-9ff3-dc633060daf5</t>
        </is>
      </c>
      <c r="G75" s="0" t="inlineStr">
        <is>
          <t>Roti &amp; Bakery</t>
        </is>
      </c>
      <c r="H75" s="0" t="inlineStr">
        <is>
          <t>8a448f0e-e2c9-47c2-847f-9318e1605515</t>
        </is>
      </c>
      <c r="I75" s="0" t="inlineStr">
        <is>
          <t>Muffin Blueberry</t>
        </is>
      </c>
      <c r="J75" s="0" t="inlineStr"/>
      <c r="K75" s="0" t="inlineStr"/>
      <c r="L75" s="0" t="inlineStr"/>
      <c r="M75" s="0" t="inlineStr"/>
      <c r="N75" s="0" t="inlineStr"/>
      <c r="O75" s="0" t="n">
        <v>0</v>
      </c>
      <c r="P75" s="0" t="n">
        <v>0</v>
      </c>
      <c r="Q75" s="0" t="n">
        <v>0</v>
      </c>
      <c r="R75" s="0" t="inlineStr">
        <is>
          <t>Available</t>
        </is>
      </c>
      <c r="S75" s="0" t="inlineStr">
        <is>
          <t>Show</t>
        </is>
      </c>
      <c r="W75" s="0" t="inlineStr"/>
      <c r="X75" s="0" t="inlineStr"/>
      <c r="Z75" s="168" t="n"/>
      <c r="AA75" s="0" t="n">
        <v>17000</v>
      </c>
      <c r="AB75" s="0" t="n">
        <v>17000</v>
      </c>
      <c r="AC75" s="0" t="inlineStr"/>
      <c r="AG75" s="168" t="n"/>
      <c r="AI75" s="168" t="inlineStr"/>
      <c r="AK75" s="0" t="inlineStr"/>
      <c r="AM75" s="168" t="inlineStr"/>
      <c r="AO75" s="168" t="n"/>
      <c r="AP75" s="0" t="inlineStr"/>
    </row>
    <row r="76">
      <c r="A76" s="0" t="inlineStr">
        <is>
          <t>GoFood</t>
        </is>
      </c>
      <c r="B76" s="0" t="inlineStr">
        <is>
          <t>Superfood (test)</t>
        </is>
      </c>
      <c r="C76" s="0" t="inlineStr">
        <is>
          <t>F</t>
        </is>
      </c>
      <c r="D76" s="0" t="inlineStr">
        <is>
          <t>https://gofood.link/a/G828092803</t>
        </is>
      </c>
      <c r="E76" s="0" t="inlineStr">
        <is>
          <t>G828092803</t>
        </is>
      </c>
      <c r="F76" s="0" t="inlineStr">
        <is>
          <t>d277521b-df71-48ce-9ff3-dc633060daf5</t>
        </is>
      </c>
      <c r="G76" s="0" t="inlineStr">
        <is>
          <t>Roti &amp; Bakery</t>
        </is>
      </c>
      <c r="H76" s="0" t="inlineStr">
        <is>
          <t>baaece1d-ad82-4708-ace1-d4c004fcc6df</t>
        </is>
      </c>
      <c r="I76" s="0" t="inlineStr">
        <is>
          <t>Cinnamon Roll</t>
        </is>
      </c>
      <c r="J76" s="0" t="inlineStr"/>
      <c r="K76" s="0" t="inlineStr"/>
      <c r="L76" s="0" t="inlineStr"/>
      <c r="M76" s="0" t="inlineStr"/>
      <c r="N76" s="0" t="inlineStr"/>
      <c r="O76" s="0" t="n">
        <v>0</v>
      </c>
      <c r="P76" s="0" t="n">
        <v>0</v>
      </c>
      <c r="Q76" s="0" t="n">
        <v>0</v>
      </c>
      <c r="R76" s="0" t="inlineStr">
        <is>
          <t>Available</t>
        </is>
      </c>
      <c r="S76" s="0" t="inlineStr">
        <is>
          <t>Show</t>
        </is>
      </c>
      <c r="W76" s="0" t="inlineStr"/>
      <c r="X76" s="0" t="inlineStr"/>
      <c r="Z76" s="168" t="n"/>
      <c r="AA76" s="0" t="n">
        <v>20000</v>
      </c>
      <c r="AB76" s="0" t="n">
        <v>20000</v>
      </c>
      <c r="AC76" s="0" t="inlineStr"/>
      <c r="AG76" s="168" t="n"/>
      <c r="AI76" s="168" t="inlineStr"/>
      <c r="AK76" s="0" t="inlineStr"/>
      <c r="AM76" s="168" t="inlineStr"/>
      <c r="AO76" s="168" t="n"/>
      <c r="AP76" s="0" t="inlineStr"/>
    </row>
    <row r="77">
      <c r="A77" s="0" t="inlineStr">
        <is>
          <t>GoFood</t>
        </is>
      </c>
      <c r="B77" s="0" t="inlineStr">
        <is>
          <t>Superfood (test)</t>
        </is>
      </c>
      <c r="C77" s="0" t="inlineStr">
        <is>
          <t>F</t>
        </is>
      </c>
      <c r="D77" s="0" t="inlineStr">
        <is>
          <t>https://gofood.link/a/G828092803</t>
        </is>
      </c>
      <c r="E77" s="0" t="inlineStr">
        <is>
          <t>G828092803</t>
        </is>
      </c>
      <c r="F77" s="0" t="inlineStr">
        <is>
          <t>79b4c7ad-0877-4557-8f35-4a40394705c3</t>
        </is>
      </c>
      <c r="G77" s="0" t="inlineStr">
        <is>
          <t>Roti Bakar</t>
        </is>
      </c>
      <c r="H77" s="0" t="inlineStr">
        <is>
          <t>2ff59112-f3be-4e2a-96c8-ec6506821bab</t>
        </is>
      </c>
      <c r="I77" s="0" t="inlineStr">
        <is>
          <t>Roti Bakar Keju</t>
        </is>
      </c>
      <c r="J77" s="0" t="inlineStr"/>
      <c r="K77" s="0" t="inlineStr"/>
      <c r="L77" s="0" t="inlineStr"/>
      <c r="M77" s="0" t="inlineStr"/>
      <c r="N77" s="0" t="inlineStr"/>
      <c r="O77" s="0" t="n">
        <v>0</v>
      </c>
      <c r="P77" s="0" t="n">
        <v>0</v>
      </c>
      <c r="Q77" s="0" t="n">
        <v>0</v>
      </c>
      <c r="R77" s="0" t="inlineStr">
        <is>
          <t>Available</t>
        </is>
      </c>
      <c r="S77" s="0" t="inlineStr">
        <is>
          <t>Show</t>
        </is>
      </c>
      <c r="W77" s="0" t="inlineStr"/>
      <c r="X77" s="0" t="inlineStr"/>
      <c r="Z77" s="168" t="n"/>
      <c r="AA77" s="0" t="n">
        <v>20000</v>
      </c>
      <c r="AB77" s="0" t="n">
        <v>20000</v>
      </c>
      <c r="AC77" s="0" t="inlineStr"/>
      <c r="AG77" s="168" t="n"/>
      <c r="AI77" s="168" t="inlineStr"/>
      <c r="AK77" s="0" t="inlineStr"/>
      <c r="AM77" s="168" t="inlineStr"/>
      <c r="AO77" s="168" t="n"/>
      <c r="AP77" s="0" t="inlineStr"/>
    </row>
    <row r="78">
      <c r="A78" s="0" t="inlineStr">
        <is>
          <t>GoFood</t>
        </is>
      </c>
      <c r="B78" s="0" t="inlineStr">
        <is>
          <t>Superfood (test)</t>
        </is>
      </c>
      <c r="C78" s="0" t="inlineStr">
        <is>
          <t>F</t>
        </is>
      </c>
      <c r="D78" s="0" t="inlineStr">
        <is>
          <t>https://gofood.link/a/G828092803</t>
        </is>
      </c>
      <c r="E78" s="0" t="inlineStr">
        <is>
          <t>G828092803</t>
        </is>
      </c>
      <c r="F78" s="0" t="inlineStr">
        <is>
          <t>79b4c7ad-0877-4557-8f35-4a40394705c3</t>
        </is>
      </c>
      <c r="G78" s="0" t="inlineStr">
        <is>
          <t>Roti Bakar</t>
        </is>
      </c>
      <c r="H78" s="0" t="inlineStr">
        <is>
          <t>6413e968-5909-430a-8bd8-e7596c4d77e8</t>
        </is>
      </c>
      <c r="I78" s="0" t="inlineStr">
        <is>
          <t>Roti Bakar Coklat</t>
        </is>
      </c>
      <c r="J78" s="0" t="inlineStr"/>
      <c r="K78" s="0" t="inlineStr"/>
      <c r="L78" s="0" t="inlineStr"/>
      <c r="M78" s="0" t="inlineStr"/>
      <c r="N78" s="0" t="inlineStr"/>
      <c r="O78" s="0" t="n">
        <v>0</v>
      </c>
      <c r="P78" s="0" t="n">
        <v>0</v>
      </c>
      <c r="Q78" s="0" t="n">
        <v>0</v>
      </c>
      <c r="R78" s="0" t="inlineStr">
        <is>
          <t>Available</t>
        </is>
      </c>
      <c r="S78" s="0" t="inlineStr">
        <is>
          <t>Show</t>
        </is>
      </c>
      <c r="W78" s="0" t="inlineStr"/>
      <c r="X78" s="0" t="inlineStr"/>
      <c r="Z78" s="168" t="n"/>
      <c r="AA78" s="0" t="n">
        <v>20000</v>
      </c>
      <c r="AB78" s="0" t="n">
        <v>20000</v>
      </c>
      <c r="AC78" s="0" t="inlineStr"/>
      <c r="AG78" s="168" t="n"/>
      <c r="AI78" s="168" t="inlineStr"/>
      <c r="AK78" s="0" t="inlineStr"/>
      <c r="AM78" s="168" t="inlineStr"/>
      <c r="AO78" s="168" t="n"/>
      <c r="AP78" s="0" t="inlineStr"/>
    </row>
    <row r="79">
      <c r="A79" s="0" t="inlineStr">
        <is>
          <t>GoFood</t>
        </is>
      </c>
      <c r="B79" s="0" t="inlineStr">
        <is>
          <t>Superfood (test)</t>
        </is>
      </c>
      <c r="C79" s="0" t="inlineStr">
        <is>
          <t>F</t>
        </is>
      </c>
      <c r="D79" s="0" t="inlineStr">
        <is>
          <t>https://gofood.link/a/G828092803</t>
        </is>
      </c>
      <c r="E79" s="0" t="inlineStr">
        <is>
          <t>G828092803</t>
        </is>
      </c>
      <c r="F79" s="0" t="inlineStr">
        <is>
          <t>79b4c7ad-0877-4557-8f35-4a40394705c3</t>
        </is>
      </c>
      <c r="G79" s="0" t="inlineStr">
        <is>
          <t>Roti Bakar</t>
        </is>
      </c>
      <c r="H79" s="0" t="inlineStr">
        <is>
          <t>e25164ac-efa9-4289-9c7c-60c7fb8de399</t>
        </is>
      </c>
      <c r="I79" s="0" t="inlineStr">
        <is>
          <t>Roti Bakar Selai Kacang</t>
        </is>
      </c>
      <c r="J79" s="0" t="inlineStr"/>
      <c r="K79" s="0" t="inlineStr"/>
      <c r="L79" s="0" t="inlineStr"/>
      <c r="M79" s="0" t="inlineStr"/>
      <c r="N79" s="0" t="inlineStr"/>
      <c r="O79" s="0" t="n">
        <v>0</v>
      </c>
      <c r="P79" s="0" t="n">
        <v>0</v>
      </c>
      <c r="Q79" s="0" t="n">
        <v>0</v>
      </c>
      <c r="R79" s="0" t="inlineStr">
        <is>
          <t>Available</t>
        </is>
      </c>
      <c r="S79" s="0" t="inlineStr">
        <is>
          <t>Show</t>
        </is>
      </c>
      <c r="W79" s="0" t="inlineStr"/>
      <c r="X79" s="0" t="inlineStr"/>
      <c r="Z79" s="168" t="n"/>
      <c r="AA79" s="0" t="n">
        <v>20000</v>
      </c>
      <c r="AB79" s="0" t="n">
        <v>20000</v>
      </c>
      <c r="AC79" s="0" t="inlineStr"/>
      <c r="AG79" s="168" t="n"/>
      <c r="AI79" s="168" t="inlineStr"/>
      <c r="AK79" s="0" t="inlineStr"/>
      <c r="AM79" s="168" t="inlineStr"/>
      <c r="AO79" s="168" t="n"/>
      <c r="AP79" s="0" t="inlineStr"/>
    </row>
    <row r="80">
      <c r="A80" s="0" t="inlineStr">
        <is>
          <t>GoFood</t>
        </is>
      </c>
      <c r="B80" s="0" t="inlineStr">
        <is>
          <t>Superfood (test)</t>
        </is>
      </c>
      <c r="C80" s="0" t="inlineStr">
        <is>
          <t>F</t>
        </is>
      </c>
      <c r="D80" s="0" t="inlineStr">
        <is>
          <t>https://gofood.link/a/G828092803</t>
        </is>
      </c>
      <c r="E80" s="0" t="inlineStr">
        <is>
          <t>G828092803</t>
        </is>
      </c>
      <c r="F80" s="0" t="inlineStr">
        <is>
          <t>79b4c7ad-0877-4557-8f35-4a40394705c3</t>
        </is>
      </c>
      <c r="G80" s="0" t="inlineStr">
        <is>
          <t>Roti Bakar</t>
        </is>
      </c>
      <c r="H80" s="0" t="inlineStr">
        <is>
          <t>bfdaca7b-2997-47ed-b2f5-474f52de0471</t>
        </is>
      </c>
      <c r="I80" s="0" t="inlineStr">
        <is>
          <t>Roti Bakar Pisang Coklat</t>
        </is>
      </c>
      <c r="J80" s="0" t="inlineStr"/>
      <c r="K80" s="0" t="inlineStr"/>
      <c r="L80" s="0" t="inlineStr"/>
      <c r="M80" s="0" t="inlineStr"/>
      <c r="N80" s="0" t="inlineStr"/>
      <c r="O80" s="0" t="n">
        <v>0</v>
      </c>
      <c r="P80" s="0" t="n">
        <v>0</v>
      </c>
      <c r="Q80" s="0" t="n">
        <v>0</v>
      </c>
      <c r="R80" s="0" t="inlineStr">
        <is>
          <t>Available</t>
        </is>
      </c>
      <c r="S80" s="0" t="inlineStr">
        <is>
          <t>Show</t>
        </is>
      </c>
      <c r="W80" s="0" t="inlineStr"/>
      <c r="X80" s="0" t="inlineStr"/>
      <c r="Z80" s="168" t="n"/>
      <c r="AA80" s="0" t="n">
        <v>22000</v>
      </c>
      <c r="AB80" s="0" t="n">
        <v>22000</v>
      </c>
      <c r="AC80" s="0" t="inlineStr"/>
      <c r="AG80" s="168" t="n"/>
      <c r="AI80" s="168" t="inlineStr"/>
      <c r="AK80" s="0" t="inlineStr"/>
      <c r="AM80" s="168" t="inlineStr"/>
      <c r="AO80" s="168" t="n"/>
      <c r="AP80" s="0" t="inlineStr"/>
    </row>
    <row r="81">
      <c r="A81" s="0" t="inlineStr">
        <is>
          <t>GoFood</t>
        </is>
      </c>
      <c r="B81" s="0" t="inlineStr">
        <is>
          <t>Superfood (test)</t>
        </is>
      </c>
      <c r="C81" s="0" t="inlineStr">
        <is>
          <t>F</t>
        </is>
      </c>
      <c r="D81" s="0" t="inlineStr">
        <is>
          <t>https://gofood.link/a/G828092803</t>
        </is>
      </c>
      <c r="E81" s="0" t="inlineStr">
        <is>
          <t>G828092803</t>
        </is>
      </c>
      <c r="F81" s="0" t="inlineStr">
        <is>
          <t>79b4c7ad-0877-4557-8f35-4a40394705c3</t>
        </is>
      </c>
      <c r="G81" s="0" t="inlineStr">
        <is>
          <t>Roti Bakar</t>
        </is>
      </c>
      <c r="H81" s="0" t="inlineStr">
        <is>
          <t>ca6cbd96-8914-41a3-a62f-d20b3b194de7</t>
        </is>
      </c>
      <c r="I81" s="0" t="inlineStr">
        <is>
          <t>Roti Bakar Tiramisu</t>
        </is>
      </c>
      <c r="J81" s="0" t="inlineStr"/>
      <c r="K81" s="0" t="inlineStr"/>
      <c r="L81" s="0" t="inlineStr"/>
      <c r="M81" s="0" t="inlineStr"/>
      <c r="N81" s="0" t="inlineStr"/>
      <c r="O81" s="0" t="n">
        <v>0</v>
      </c>
      <c r="P81" s="0" t="n">
        <v>0</v>
      </c>
      <c r="Q81" s="0" t="n">
        <v>0</v>
      </c>
      <c r="R81" s="0" t="inlineStr">
        <is>
          <t>Available</t>
        </is>
      </c>
      <c r="S81" s="0" t="inlineStr">
        <is>
          <t>Show</t>
        </is>
      </c>
      <c r="W81" s="0" t="inlineStr"/>
      <c r="X81" s="0" t="inlineStr"/>
      <c r="Z81" s="168" t="n"/>
      <c r="AA81" s="0" t="n">
        <v>24000</v>
      </c>
      <c r="AB81" s="0" t="n">
        <v>24000</v>
      </c>
      <c r="AC81" s="0" t="inlineStr"/>
      <c r="AG81" s="168" t="n"/>
      <c r="AI81" s="168" t="inlineStr"/>
      <c r="AK81" s="0" t="inlineStr"/>
      <c r="AM81" s="168" t="inlineStr"/>
      <c r="AO81" s="168" t="n"/>
      <c r="AP81" s="0" t="inlineStr"/>
    </row>
    <row r="82">
      <c r="A82" s="0" t="inlineStr">
        <is>
          <t>GoFood</t>
        </is>
      </c>
      <c r="B82" s="0" t="inlineStr">
        <is>
          <t>Superfood (test)</t>
        </is>
      </c>
      <c r="C82" s="0" t="inlineStr">
        <is>
          <t>F</t>
        </is>
      </c>
      <c r="D82" s="0" t="inlineStr">
        <is>
          <t>https://gofood.link/a/G828092803</t>
        </is>
      </c>
      <c r="E82" s="0" t="inlineStr">
        <is>
          <t>G828092803</t>
        </is>
      </c>
      <c r="F82" s="0" t="inlineStr">
        <is>
          <t>79b4c7ad-0877-4557-8f35-4a40394705c3</t>
        </is>
      </c>
      <c r="G82" s="0" t="inlineStr">
        <is>
          <t>Roti Bakar</t>
        </is>
      </c>
      <c r="H82" s="0" t="inlineStr">
        <is>
          <t>9a24697e-4a4f-481b-b3a9-b4911c506f95</t>
        </is>
      </c>
      <c r="I82" s="0" t="inlineStr">
        <is>
          <t>Roti Bakar Susu</t>
        </is>
      </c>
      <c r="J82" s="0" t="inlineStr"/>
      <c r="K82" s="0" t="inlineStr"/>
      <c r="L82" s="0" t="inlineStr"/>
      <c r="M82" s="0" t="inlineStr"/>
      <c r="N82" s="0" t="inlineStr"/>
      <c r="O82" s="0" t="n">
        <v>0</v>
      </c>
      <c r="P82" s="0" t="n">
        <v>0</v>
      </c>
      <c r="Q82" s="0" t="n">
        <v>0</v>
      </c>
      <c r="R82" s="0" t="inlineStr">
        <is>
          <t>Available</t>
        </is>
      </c>
      <c r="S82" s="0" t="inlineStr">
        <is>
          <t>Show</t>
        </is>
      </c>
      <c r="W82" s="0" t="inlineStr"/>
      <c r="X82" s="0" t="inlineStr"/>
      <c r="Z82" s="168" t="n"/>
      <c r="AA82" s="0" t="n">
        <v>19000</v>
      </c>
      <c r="AB82" s="0" t="n">
        <v>19000</v>
      </c>
      <c r="AC82" s="0" t="inlineStr"/>
      <c r="AG82" s="168" t="n"/>
      <c r="AI82" s="168" t="inlineStr"/>
      <c r="AK82" s="0" t="inlineStr"/>
      <c r="AM82" s="168" t="inlineStr"/>
      <c r="AO82" s="168" t="n"/>
      <c r="AP82" s="0" t="inlineStr"/>
    </row>
    <row r="83">
      <c r="A83" s="0" t="inlineStr">
        <is>
          <t>GoFood</t>
        </is>
      </c>
      <c r="B83" s="0" t="inlineStr">
        <is>
          <t>Superfood (test)</t>
        </is>
      </c>
      <c r="C83" s="0" t="inlineStr">
        <is>
          <t>F</t>
        </is>
      </c>
      <c r="D83" s="0" t="inlineStr">
        <is>
          <t>https://gofood.link/a/G828092803</t>
        </is>
      </c>
      <c r="E83" s="0" t="inlineStr">
        <is>
          <t>G828092803</t>
        </is>
      </c>
      <c r="F83" s="0" t="inlineStr">
        <is>
          <t>3f4491d8-a467-4a3a-94d6-53650e575e60</t>
        </is>
      </c>
      <c r="G83" s="0" t="inlineStr">
        <is>
          <t>Dimsum</t>
        </is>
      </c>
      <c r="H83" s="0" t="inlineStr">
        <is>
          <t>4fa2d634-dc49-40e8-96f2-b76389ea44e7</t>
        </is>
      </c>
      <c r="I83" s="0" t="inlineStr">
        <is>
          <t>Siomay Ayam</t>
        </is>
      </c>
      <c r="J83" s="0" t="inlineStr"/>
      <c r="K83" s="0" t="inlineStr"/>
      <c r="L83" s="0" t="inlineStr"/>
      <c r="M83" s="0" t="inlineStr"/>
      <c r="N83" s="0" t="inlineStr"/>
      <c r="O83" s="0" t="n">
        <v>0</v>
      </c>
      <c r="P83" s="0" t="n">
        <v>0</v>
      </c>
      <c r="Q83" s="0" t="n">
        <v>0</v>
      </c>
      <c r="R83" s="0" t="inlineStr">
        <is>
          <t>Available</t>
        </is>
      </c>
      <c r="S83" s="0" t="inlineStr">
        <is>
          <t>Show</t>
        </is>
      </c>
      <c r="W83" s="0" t="inlineStr"/>
      <c r="X83" s="0" t="inlineStr"/>
      <c r="Z83" s="168" t="n"/>
      <c r="AA83" s="0" t="n">
        <v>22000</v>
      </c>
      <c r="AB83" s="0" t="n">
        <v>22000</v>
      </c>
      <c r="AC83" s="0" t="inlineStr"/>
      <c r="AG83" s="168" t="n"/>
      <c r="AI83" s="168" t="inlineStr"/>
      <c r="AK83" s="0" t="inlineStr"/>
      <c r="AM83" s="168" t="inlineStr"/>
      <c r="AO83" s="168" t="n"/>
      <c r="AP83" s="0" t="inlineStr"/>
    </row>
    <row r="84">
      <c r="A84" s="0" t="inlineStr">
        <is>
          <t>GoFood</t>
        </is>
      </c>
      <c r="B84" s="0" t="inlineStr">
        <is>
          <t>Superfood (test)</t>
        </is>
      </c>
      <c r="C84" s="0" t="inlineStr">
        <is>
          <t>F</t>
        </is>
      </c>
      <c r="D84" s="0" t="inlineStr">
        <is>
          <t>https://gofood.link/a/G828092803</t>
        </is>
      </c>
      <c r="E84" s="0" t="inlineStr">
        <is>
          <t>G828092803</t>
        </is>
      </c>
      <c r="F84" s="0" t="inlineStr">
        <is>
          <t>3f4491d8-a467-4a3a-94d6-53650e575e60</t>
        </is>
      </c>
      <c r="G84" s="0" t="inlineStr">
        <is>
          <t>Dimsum</t>
        </is>
      </c>
      <c r="H84" s="0" t="inlineStr">
        <is>
          <t>6de0f858-7a29-4e75-9fed-ae26f24e95a3</t>
        </is>
      </c>
      <c r="I84" s="0" t="inlineStr">
        <is>
          <t>Hakau Udang</t>
        </is>
      </c>
      <c r="J84" s="0" t="inlineStr"/>
      <c r="K84" s="0" t="inlineStr"/>
      <c r="L84" s="0" t="inlineStr"/>
      <c r="M84" s="0" t="inlineStr"/>
      <c r="N84" s="0" t="inlineStr"/>
      <c r="O84" s="0" t="n">
        <v>0</v>
      </c>
      <c r="P84" s="0" t="n">
        <v>0</v>
      </c>
      <c r="Q84" s="0" t="n">
        <v>0</v>
      </c>
      <c r="R84" s="0" t="inlineStr">
        <is>
          <t>Available</t>
        </is>
      </c>
      <c r="S84" s="0" t="inlineStr">
        <is>
          <t>Show</t>
        </is>
      </c>
      <c r="W84" s="0" t="inlineStr"/>
      <c r="X84" s="0" t="inlineStr"/>
      <c r="Z84" s="168" t="n"/>
      <c r="AA84" s="0" t="n">
        <v>24000</v>
      </c>
      <c r="AB84" s="0" t="n">
        <v>24000</v>
      </c>
      <c r="AC84" s="0" t="inlineStr"/>
      <c r="AG84" s="168" t="n"/>
      <c r="AI84" s="168" t="inlineStr"/>
      <c r="AK84" s="0" t="inlineStr"/>
      <c r="AM84" s="168" t="inlineStr"/>
      <c r="AO84" s="168" t="n"/>
      <c r="AP84" s="0" t="inlineStr"/>
    </row>
    <row r="85">
      <c r="A85" s="0" t="inlineStr">
        <is>
          <t>GoFood</t>
        </is>
      </c>
      <c r="B85" s="0" t="inlineStr">
        <is>
          <t>Superfood (test)</t>
        </is>
      </c>
      <c r="C85" s="0" t="inlineStr">
        <is>
          <t>F</t>
        </is>
      </c>
      <c r="D85" s="0" t="inlineStr">
        <is>
          <t>https://gofood.link/a/G828092803</t>
        </is>
      </c>
      <c r="E85" s="0" t="inlineStr">
        <is>
          <t>G828092803</t>
        </is>
      </c>
      <c r="F85" s="0" t="inlineStr">
        <is>
          <t>3f4491d8-a467-4a3a-94d6-53650e575e60</t>
        </is>
      </c>
      <c r="G85" s="0" t="inlineStr">
        <is>
          <t>Dimsum</t>
        </is>
      </c>
      <c r="H85" s="0" t="inlineStr">
        <is>
          <t>8ae2bb85-5314-4756-8b77-2cae8efcb32f</t>
        </is>
      </c>
      <c r="I85" s="0" t="inlineStr">
        <is>
          <t>Ekado</t>
        </is>
      </c>
      <c r="J85" s="0" t="inlineStr"/>
      <c r="K85" s="0" t="inlineStr"/>
      <c r="L85" s="0" t="inlineStr"/>
      <c r="M85" s="0" t="inlineStr"/>
      <c r="N85" s="0" t="inlineStr"/>
      <c r="O85" s="0" t="n">
        <v>0</v>
      </c>
      <c r="P85" s="0" t="n">
        <v>0</v>
      </c>
      <c r="Q85" s="0" t="n">
        <v>0</v>
      </c>
      <c r="R85" s="0" t="inlineStr">
        <is>
          <t>Available</t>
        </is>
      </c>
      <c r="S85" s="0" t="inlineStr">
        <is>
          <t>Show</t>
        </is>
      </c>
      <c r="W85" s="0" t="inlineStr"/>
      <c r="X85" s="0" t="inlineStr"/>
      <c r="Z85" s="168" t="n"/>
      <c r="AA85" s="0" t="n">
        <v>20000</v>
      </c>
      <c r="AB85" s="0" t="n">
        <v>20000</v>
      </c>
      <c r="AC85" s="0" t="inlineStr"/>
      <c r="AG85" s="168" t="n"/>
      <c r="AI85" s="168" t="inlineStr"/>
      <c r="AK85" s="0" t="inlineStr"/>
      <c r="AM85" s="168" t="inlineStr"/>
      <c r="AO85" s="168" t="n"/>
      <c r="AP85" s="0" t="inlineStr"/>
    </row>
    <row r="86">
      <c r="A86" s="0" t="inlineStr">
        <is>
          <t>GoFood</t>
        </is>
      </c>
      <c r="B86" s="0" t="inlineStr">
        <is>
          <t>Superfood (test)</t>
        </is>
      </c>
      <c r="C86" s="0" t="inlineStr">
        <is>
          <t>F</t>
        </is>
      </c>
      <c r="D86" s="0" t="inlineStr">
        <is>
          <t>https://gofood.link/a/G828092803</t>
        </is>
      </c>
      <c r="E86" s="0" t="inlineStr">
        <is>
          <t>G828092803</t>
        </is>
      </c>
      <c r="F86" s="0" t="inlineStr">
        <is>
          <t>3f4491d8-a467-4a3a-94d6-53650e575e60</t>
        </is>
      </c>
      <c r="G86" s="0" t="inlineStr">
        <is>
          <t>Dimsum</t>
        </is>
      </c>
      <c r="H86" s="0" t="inlineStr">
        <is>
          <t>83c19011-5bf5-46c4-ada7-ba2ca7927cf4</t>
        </is>
      </c>
      <c r="I86" s="0" t="inlineStr">
        <is>
          <t>Chicken Katsu Roll</t>
        </is>
      </c>
      <c r="J86" s="0" t="inlineStr"/>
      <c r="K86" s="0" t="inlineStr"/>
      <c r="L86" s="0" t="inlineStr"/>
      <c r="M86" s="0" t="inlineStr"/>
      <c r="N86" s="0" t="inlineStr"/>
      <c r="O86" s="0" t="n">
        <v>0</v>
      </c>
      <c r="P86" s="0" t="n">
        <v>0</v>
      </c>
      <c r="Q86" s="0" t="n">
        <v>0</v>
      </c>
      <c r="R86" s="0" t="inlineStr">
        <is>
          <t>Available</t>
        </is>
      </c>
      <c r="S86" s="0" t="inlineStr">
        <is>
          <t>Show</t>
        </is>
      </c>
      <c r="W86" s="0" t="inlineStr"/>
      <c r="X86" s="0" t="inlineStr"/>
      <c r="Z86" s="168" t="n"/>
      <c r="AA86" s="0" t="n">
        <v>24000</v>
      </c>
      <c r="AB86" s="0" t="n">
        <v>24000</v>
      </c>
      <c r="AC86" s="0" t="inlineStr"/>
      <c r="AG86" s="168" t="n"/>
      <c r="AI86" s="168" t="inlineStr"/>
      <c r="AK86" s="0" t="inlineStr"/>
      <c r="AM86" s="168" t="inlineStr"/>
      <c r="AO86" s="168" t="n"/>
      <c r="AP86" s="0" t="inlineStr"/>
    </row>
    <row r="87">
      <c r="A87" s="0" t="inlineStr">
        <is>
          <t>GoFood</t>
        </is>
      </c>
      <c r="B87" s="0" t="inlineStr">
        <is>
          <t>Superfood (test)</t>
        </is>
      </c>
      <c r="C87" s="0" t="inlineStr">
        <is>
          <t>F</t>
        </is>
      </c>
      <c r="D87" s="0" t="inlineStr">
        <is>
          <t>https://gofood.link/a/G828092803</t>
        </is>
      </c>
      <c r="E87" s="0" t="inlineStr">
        <is>
          <t>G828092803</t>
        </is>
      </c>
      <c r="F87" s="0" t="inlineStr">
        <is>
          <t>3f4491d8-a467-4a3a-94d6-53650e575e60</t>
        </is>
      </c>
      <c r="G87" s="0" t="inlineStr">
        <is>
          <t>Dimsum</t>
        </is>
      </c>
      <c r="H87" s="0" t="inlineStr">
        <is>
          <t>829a4b6e-4861-4630-a525-5ddeba86ffa2</t>
        </is>
      </c>
      <c r="I87" s="0" t="inlineStr">
        <is>
          <t>Lumpia Udang</t>
        </is>
      </c>
      <c r="J87" s="0" t="inlineStr"/>
      <c r="K87" s="0" t="inlineStr"/>
      <c r="L87" s="0" t="inlineStr"/>
      <c r="M87" s="0" t="inlineStr"/>
      <c r="N87" s="0" t="inlineStr"/>
      <c r="O87" s="0" t="n">
        <v>0</v>
      </c>
      <c r="P87" s="0" t="n">
        <v>0</v>
      </c>
      <c r="Q87" s="0" t="n">
        <v>0</v>
      </c>
      <c r="R87" s="0" t="inlineStr">
        <is>
          <t>Available</t>
        </is>
      </c>
      <c r="S87" s="0" t="inlineStr">
        <is>
          <t>Show</t>
        </is>
      </c>
      <c r="W87" s="0" t="inlineStr"/>
      <c r="X87" s="0" t="inlineStr"/>
      <c r="Z87" s="168" t="n"/>
      <c r="AA87" s="0" t="n">
        <v>20000</v>
      </c>
      <c r="AB87" s="0" t="n">
        <v>20000</v>
      </c>
      <c r="AC87" s="0" t="inlineStr"/>
      <c r="AG87" s="168" t="n"/>
      <c r="AI87" s="168" t="inlineStr"/>
      <c r="AK87" s="0" t="inlineStr"/>
      <c r="AM87" s="168" t="inlineStr"/>
      <c r="AO87" s="168" t="n"/>
      <c r="AP87" s="0" t="inlineStr"/>
    </row>
    <row r="88">
      <c r="A88" s="0" t="inlineStr">
        <is>
          <t>GoFood</t>
        </is>
      </c>
      <c r="B88" s="0" t="inlineStr">
        <is>
          <t>Superfood (test)</t>
        </is>
      </c>
      <c r="C88" s="0" t="inlineStr">
        <is>
          <t>F</t>
        </is>
      </c>
      <c r="D88" s="0" t="inlineStr">
        <is>
          <t>https://gofood.link/a/G828092803</t>
        </is>
      </c>
      <c r="E88" s="0" t="inlineStr">
        <is>
          <t>G828092803</t>
        </is>
      </c>
      <c r="F88" s="0" t="inlineStr">
        <is>
          <t>3f4491d8-a467-4a3a-94d6-53650e575e60</t>
        </is>
      </c>
      <c r="G88" s="0" t="inlineStr">
        <is>
          <t>Dimsum</t>
        </is>
      </c>
      <c r="H88" s="0" t="inlineStr">
        <is>
          <t>82940cc5-cac5-4afb-9d3d-11f1cdeb21b0</t>
        </is>
      </c>
      <c r="I88" s="0" t="inlineStr">
        <is>
          <t>Dimsum Ayam Jamur</t>
        </is>
      </c>
      <c r="J88" s="0" t="inlineStr"/>
      <c r="K88" s="0" t="inlineStr"/>
      <c r="L88" s="0" t="inlineStr"/>
      <c r="M88" s="0" t="inlineStr"/>
      <c r="N88" s="0" t="inlineStr"/>
      <c r="O88" s="0" t="n">
        <v>0</v>
      </c>
      <c r="P88" s="0" t="n">
        <v>0</v>
      </c>
      <c r="Q88" s="0" t="n">
        <v>0</v>
      </c>
      <c r="R88" s="0" t="inlineStr">
        <is>
          <t>Available</t>
        </is>
      </c>
      <c r="S88" s="0" t="inlineStr">
        <is>
          <t>Show</t>
        </is>
      </c>
      <c r="W88" s="0" t="inlineStr"/>
      <c r="X88" s="0" t="inlineStr"/>
      <c r="Z88" s="168" t="n"/>
      <c r="AA88" s="0" t="n">
        <v>22000</v>
      </c>
      <c r="AB88" s="0" t="n">
        <v>22000</v>
      </c>
      <c r="AC88" s="0" t="inlineStr"/>
      <c r="AG88" s="168" t="n"/>
      <c r="AI88" s="168" t="inlineStr"/>
      <c r="AK88" s="0" t="inlineStr"/>
      <c r="AM88" s="168" t="inlineStr"/>
      <c r="AO88" s="168" t="n"/>
      <c r="AP88" s="0" t="inlineStr"/>
    </row>
    <row r="89">
      <c r="A89" s="0" t="inlineStr">
        <is>
          <t>GoFood</t>
        </is>
      </c>
      <c r="B89" s="0" t="inlineStr">
        <is>
          <t>Superfood (test)</t>
        </is>
      </c>
      <c r="C89" s="0" t="inlineStr">
        <is>
          <t>F</t>
        </is>
      </c>
      <c r="D89" s="0" t="inlineStr">
        <is>
          <t>https://gofood.link/a/G828092803</t>
        </is>
      </c>
      <c r="E89" s="0" t="inlineStr">
        <is>
          <t>G828092803</t>
        </is>
      </c>
      <c r="F89" s="0" t="inlineStr">
        <is>
          <t>914c0d71-0bdd-4cbf-b315-74528b4abfc0</t>
        </is>
      </c>
      <c r="G89" s="0" t="inlineStr">
        <is>
          <t>Salad &amp; Sehat</t>
        </is>
      </c>
      <c r="H89" s="0" t="inlineStr">
        <is>
          <t>6e61bb4f-1c97-45d2-a41d-6ab6075e5e04</t>
        </is>
      </c>
      <c r="I89" s="0" t="inlineStr">
        <is>
          <t>Salad Buah</t>
        </is>
      </c>
      <c r="J89" s="0" t="inlineStr"/>
      <c r="K89" s="0" t="inlineStr"/>
      <c r="L89" s="0" t="inlineStr"/>
      <c r="M89" s="0" t="inlineStr"/>
      <c r="N89" s="0" t="inlineStr"/>
      <c r="O89" s="0" t="n">
        <v>0</v>
      </c>
      <c r="P89" s="0" t="n">
        <v>0</v>
      </c>
      <c r="Q89" s="0" t="n">
        <v>0</v>
      </c>
      <c r="R89" s="0" t="inlineStr">
        <is>
          <t>Available</t>
        </is>
      </c>
      <c r="S89" s="0" t="inlineStr">
        <is>
          <t>Show</t>
        </is>
      </c>
      <c r="W89" s="0" t="inlineStr"/>
      <c r="X89" s="0" t="inlineStr"/>
      <c r="Z89" s="168" t="n"/>
      <c r="AA89" s="0" t="n">
        <v>17000</v>
      </c>
      <c r="AB89" s="0" t="n">
        <v>17000</v>
      </c>
      <c r="AC89" s="0" t="inlineStr"/>
      <c r="AG89" s="168" t="n"/>
      <c r="AI89" s="168" t="inlineStr"/>
      <c r="AK89" s="0" t="inlineStr"/>
      <c r="AM89" s="168" t="inlineStr"/>
      <c r="AO89" s="168" t="n"/>
      <c r="AP89" s="0" t="inlineStr"/>
    </row>
    <row r="90">
      <c r="A90" s="0" t="inlineStr">
        <is>
          <t>GoFood</t>
        </is>
      </c>
      <c r="B90" s="0" t="inlineStr">
        <is>
          <t>Superfood (test)</t>
        </is>
      </c>
      <c r="C90" s="0" t="inlineStr">
        <is>
          <t>F</t>
        </is>
      </c>
      <c r="D90" s="0" t="inlineStr">
        <is>
          <t>https://gofood.link/a/G828092803</t>
        </is>
      </c>
      <c r="E90" s="0" t="inlineStr">
        <is>
          <t>G828092803</t>
        </is>
      </c>
      <c r="F90" s="0" t="inlineStr">
        <is>
          <t>914c0d71-0bdd-4cbf-b315-74528b4abfc0</t>
        </is>
      </c>
      <c r="G90" s="0" t="inlineStr">
        <is>
          <t>Salad &amp; Sehat</t>
        </is>
      </c>
      <c r="H90" s="0" t="inlineStr">
        <is>
          <t>607b31a1-b373-4515-82dd-4e309674e598</t>
        </is>
      </c>
      <c r="I90" s="0" t="inlineStr">
        <is>
          <t>Salad Sayur</t>
        </is>
      </c>
      <c r="J90" s="0" t="inlineStr"/>
      <c r="K90" s="0" t="inlineStr"/>
      <c r="L90" s="0" t="inlineStr"/>
      <c r="M90" s="0" t="inlineStr"/>
      <c r="N90" s="0" t="inlineStr"/>
      <c r="O90" s="0" t="n">
        <v>0</v>
      </c>
      <c r="P90" s="0" t="n">
        <v>0</v>
      </c>
      <c r="Q90" s="0" t="n">
        <v>0</v>
      </c>
      <c r="R90" s="0" t="inlineStr">
        <is>
          <t>Available</t>
        </is>
      </c>
      <c r="S90" s="0" t="inlineStr">
        <is>
          <t>Show</t>
        </is>
      </c>
      <c r="W90" s="0" t="inlineStr"/>
      <c r="X90" s="0" t="inlineStr"/>
      <c r="Z90" s="168" t="n"/>
      <c r="AA90" s="0" t="n">
        <v>17000</v>
      </c>
      <c r="AB90" s="0" t="n">
        <v>17000</v>
      </c>
      <c r="AC90" s="0" t="inlineStr"/>
      <c r="AG90" s="168" t="n"/>
      <c r="AI90" s="168" t="inlineStr"/>
      <c r="AK90" s="0" t="inlineStr"/>
      <c r="AM90" s="168" t="inlineStr"/>
      <c r="AO90" s="168" t="n"/>
      <c r="AP90" s="0" t="inlineStr"/>
    </row>
    <row r="91">
      <c r="A91" s="0" t="inlineStr">
        <is>
          <t>GoFood</t>
        </is>
      </c>
      <c r="B91" s="0" t="inlineStr">
        <is>
          <t>Superfood (test)</t>
        </is>
      </c>
      <c r="C91" s="0" t="inlineStr">
        <is>
          <t>F</t>
        </is>
      </c>
      <c r="D91" s="0" t="inlineStr">
        <is>
          <t>https://gofood.link/a/G828092803</t>
        </is>
      </c>
      <c r="E91" s="0" t="inlineStr">
        <is>
          <t>G828092803</t>
        </is>
      </c>
      <c r="F91" s="0" t="inlineStr">
        <is>
          <t>914c0d71-0bdd-4cbf-b315-74528b4abfc0</t>
        </is>
      </c>
      <c r="G91" s="0" t="inlineStr">
        <is>
          <t>Salad &amp; Sehat</t>
        </is>
      </c>
      <c r="H91" s="0" t="inlineStr">
        <is>
          <t>e1168a7e-69ef-4156-86dc-0b13c002ae96</t>
        </is>
      </c>
      <c r="I91" s="0" t="inlineStr">
        <is>
          <t>Salad Ayam Panggang</t>
        </is>
      </c>
      <c r="J91" s="0" t="inlineStr"/>
      <c r="K91" s="0" t="inlineStr"/>
      <c r="L91" s="0" t="inlineStr"/>
      <c r="M91" s="0" t="inlineStr"/>
      <c r="N91" s="0" t="inlineStr"/>
      <c r="O91" s="0" t="n">
        <v>0</v>
      </c>
      <c r="P91" s="0" t="n">
        <v>0</v>
      </c>
      <c r="Q91" s="0" t="n">
        <v>0</v>
      </c>
      <c r="R91" s="0" t="inlineStr">
        <is>
          <t>Available</t>
        </is>
      </c>
      <c r="S91" s="0" t="inlineStr">
        <is>
          <t>Show</t>
        </is>
      </c>
      <c r="W91" s="0" t="inlineStr"/>
      <c r="X91" s="0" t="inlineStr"/>
      <c r="Z91" s="168" t="n"/>
      <c r="AA91" s="0" t="n">
        <v>22000</v>
      </c>
      <c r="AB91" s="0" t="n">
        <v>22000</v>
      </c>
      <c r="AC91" s="0" t="inlineStr"/>
      <c r="AG91" s="168" t="n"/>
      <c r="AI91" s="168" t="inlineStr"/>
      <c r="AK91" s="0" t="inlineStr"/>
      <c r="AM91" s="168" t="inlineStr"/>
      <c r="AO91" s="168" t="n"/>
      <c r="AP91" s="0" t="inlineStr"/>
    </row>
    <row r="92">
      <c r="A92" s="0" t="inlineStr">
        <is>
          <t>GoFood</t>
        </is>
      </c>
      <c r="B92" s="0" t="inlineStr">
        <is>
          <t>Superfood (test)</t>
        </is>
      </c>
      <c r="C92" s="0" t="inlineStr">
        <is>
          <t>F</t>
        </is>
      </c>
      <c r="D92" s="0" t="inlineStr">
        <is>
          <t>https://gofood.link/a/G828092803</t>
        </is>
      </c>
      <c r="E92" s="0" t="inlineStr">
        <is>
          <t>G828092803</t>
        </is>
      </c>
      <c r="F92" s="0" t="inlineStr">
        <is>
          <t>914c0d71-0bdd-4cbf-b315-74528b4abfc0</t>
        </is>
      </c>
      <c r="G92" s="0" t="inlineStr">
        <is>
          <t>Salad &amp; Sehat</t>
        </is>
      </c>
      <c r="H92" s="0" t="inlineStr">
        <is>
          <t>b8003297-e2c0-40d2-9201-7cc467af5647</t>
        </is>
      </c>
      <c r="I92" s="0" t="inlineStr">
        <is>
          <t>Yogurt Bowl</t>
        </is>
      </c>
      <c r="J92" s="0" t="inlineStr"/>
      <c r="K92" s="0" t="inlineStr"/>
      <c r="L92" s="0" t="inlineStr"/>
      <c r="M92" s="0" t="inlineStr"/>
      <c r="N92" s="0" t="inlineStr"/>
      <c r="O92" s="0" t="n">
        <v>0</v>
      </c>
      <c r="P92" s="0" t="n">
        <v>0</v>
      </c>
      <c r="Q92" s="0" t="n">
        <v>0</v>
      </c>
      <c r="R92" s="0" t="inlineStr">
        <is>
          <t>Available</t>
        </is>
      </c>
      <c r="S92" s="0" t="inlineStr">
        <is>
          <t>Show</t>
        </is>
      </c>
      <c r="W92" s="0" t="inlineStr"/>
      <c r="X92" s="0" t="inlineStr"/>
      <c r="Z92" s="168" t="n"/>
      <c r="AA92" s="0" t="n">
        <v>20000</v>
      </c>
      <c r="AB92" s="0" t="n">
        <v>20000</v>
      </c>
      <c r="AC92" s="0" t="inlineStr"/>
      <c r="AG92" s="168" t="n"/>
      <c r="AI92" s="168" t="inlineStr"/>
      <c r="AK92" s="0" t="inlineStr"/>
      <c r="AM92" s="168" t="inlineStr"/>
      <c r="AO92" s="168" t="n"/>
      <c r="AP92" s="0" t="inlineStr"/>
    </row>
    <row r="93">
      <c r="A93" s="0" t="inlineStr">
        <is>
          <t>GoFood</t>
        </is>
      </c>
      <c r="B93" s="0" t="inlineStr">
        <is>
          <t>Superfood (test)</t>
        </is>
      </c>
      <c r="C93" s="0" t="inlineStr">
        <is>
          <t>F</t>
        </is>
      </c>
      <c r="D93" s="0" t="inlineStr">
        <is>
          <t>https://gofood.link/a/G828092803</t>
        </is>
      </c>
      <c r="E93" s="0" t="inlineStr">
        <is>
          <t>G828092803</t>
        </is>
      </c>
      <c r="F93" s="0" t="inlineStr">
        <is>
          <t>60123c44-59ab-4467-b92e-b17c0bdd5ecf</t>
        </is>
      </c>
      <c r="G93" s="0" t="inlineStr">
        <is>
          <t>Burger &amp; Sandwich</t>
        </is>
      </c>
      <c r="H93" s="0" t="inlineStr">
        <is>
          <t>1b4f759a-0c6b-4117-b0ac-c02b65edb73d</t>
        </is>
      </c>
      <c r="I93" s="0" t="inlineStr">
        <is>
          <t>Burger Beef Classic</t>
        </is>
      </c>
      <c r="J93" s="0" t="inlineStr"/>
      <c r="K93" s="0" t="inlineStr"/>
      <c r="L93" s="0" t="inlineStr"/>
      <c r="M93" s="0" t="inlineStr"/>
      <c r="N93" s="0" t="inlineStr"/>
      <c r="O93" s="0" t="n">
        <v>0</v>
      </c>
      <c r="P93" s="0" t="n">
        <v>0</v>
      </c>
      <c r="Q93" s="0" t="n">
        <v>0</v>
      </c>
      <c r="R93" s="0" t="inlineStr">
        <is>
          <t>Available</t>
        </is>
      </c>
      <c r="S93" s="0" t="inlineStr">
        <is>
          <t>Show</t>
        </is>
      </c>
      <c r="W93" s="0" t="inlineStr"/>
      <c r="X93" s="0" t="inlineStr"/>
      <c r="Z93" s="168" t="n"/>
      <c r="AA93" s="0" t="n">
        <v>27000</v>
      </c>
      <c r="AB93" s="0" t="n">
        <v>27000</v>
      </c>
      <c r="AC93" s="0" t="inlineStr"/>
      <c r="AG93" s="168" t="n"/>
      <c r="AI93" s="168" t="inlineStr"/>
      <c r="AK93" s="0" t="inlineStr"/>
      <c r="AM93" s="168" t="inlineStr"/>
      <c r="AO93" s="168" t="n"/>
      <c r="AP93" s="0" t="inlineStr"/>
    </row>
    <row r="94">
      <c r="A94" s="0" t="inlineStr">
        <is>
          <t>GoFood</t>
        </is>
      </c>
      <c r="B94" s="0" t="inlineStr">
        <is>
          <t>Superfood (test)</t>
        </is>
      </c>
      <c r="C94" s="0" t="inlineStr">
        <is>
          <t>F</t>
        </is>
      </c>
      <c r="D94" s="0" t="inlineStr">
        <is>
          <t>https://gofood.link/a/G828092803</t>
        </is>
      </c>
      <c r="E94" s="0" t="inlineStr">
        <is>
          <t>G828092803</t>
        </is>
      </c>
      <c r="F94" s="0" t="inlineStr">
        <is>
          <t>60123c44-59ab-4467-b92e-b17c0bdd5ecf</t>
        </is>
      </c>
      <c r="G94" s="0" t="inlineStr">
        <is>
          <t>Burger &amp; Sandwich</t>
        </is>
      </c>
      <c r="H94" s="0" t="inlineStr">
        <is>
          <t>80b6160a-e71f-47c4-9bba-62e67c12a936</t>
        </is>
      </c>
      <c r="I94" s="0" t="inlineStr">
        <is>
          <t>Burger Chicken Crispy</t>
        </is>
      </c>
      <c r="J94" s="0" t="inlineStr"/>
      <c r="K94" s="0" t="inlineStr"/>
      <c r="L94" s="0" t="inlineStr"/>
      <c r="M94" s="0" t="inlineStr"/>
      <c r="N94" s="0" t="inlineStr"/>
      <c r="O94" s="0" t="n">
        <v>0</v>
      </c>
      <c r="P94" s="0" t="n">
        <v>0</v>
      </c>
      <c r="Q94" s="0" t="n">
        <v>0</v>
      </c>
      <c r="R94" s="0" t="inlineStr">
        <is>
          <t>Available</t>
        </is>
      </c>
      <c r="S94" s="0" t="inlineStr">
        <is>
          <t>Show</t>
        </is>
      </c>
      <c r="W94" s="0" t="inlineStr"/>
      <c r="X94" s="0" t="inlineStr"/>
      <c r="Z94" s="168" t="n"/>
      <c r="AA94" s="0" t="n">
        <v>24000</v>
      </c>
      <c r="AB94" s="0" t="n">
        <v>24000</v>
      </c>
      <c r="AC94" s="0" t="inlineStr"/>
      <c r="AG94" s="168" t="n"/>
      <c r="AI94" s="168" t="inlineStr"/>
      <c r="AK94" s="0" t="inlineStr"/>
      <c r="AM94" s="168" t="inlineStr"/>
      <c r="AO94" s="168" t="n"/>
      <c r="AP94" s="0" t="inlineStr"/>
    </row>
    <row r="95">
      <c r="A95" s="0" t="inlineStr">
        <is>
          <t>GoFood</t>
        </is>
      </c>
      <c r="B95" s="0" t="inlineStr">
        <is>
          <t>Superfood (test)</t>
        </is>
      </c>
      <c r="C95" s="0" t="inlineStr">
        <is>
          <t>F</t>
        </is>
      </c>
      <c r="D95" s="0" t="inlineStr">
        <is>
          <t>https://gofood.link/a/G828092803</t>
        </is>
      </c>
      <c r="E95" s="0" t="inlineStr">
        <is>
          <t>G828092803</t>
        </is>
      </c>
      <c r="F95" s="0" t="inlineStr">
        <is>
          <t>60123c44-59ab-4467-b92e-b17c0bdd5ecf</t>
        </is>
      </c>
      <c r="G95" s="0" t="inlineStr">
        <is>
          <t>Burger &amp; Sandwich</t>
        </is>
      </c>
      <c r="H95" s="0" t="inlineStr">
        <is>
          <t>a53fe2bc-3d99-45af-826a-4209abcf0abc</t>
        </is>
      </c>
      <c r="I95" s="0" t="inlineStr">
        <is>
          <t>Burger Cheese Melt</t>
        </is>
      </c>
      <c r="J95" s="0" t="inlineStr"/>
      <c r="K95" s="0" t="inlineStr"/>
      <c r="L95" s="0" t="inlineStr"/>
      <c r="M95" s="0" t="inlineStr"/>
      <c r="N95" s="0" t="inlineStr"/>
      <c r="O95" s="0" t="n">
        <v>0</v>
      </c>
      <c r="P95" s="0" t="n">
        <v>0</v>
      </c>
      <c r="Q95" s="0" t="n">
        <v>0</v>
      </c>
      <c r="R95" s="0" t="inlineStr">
        <is>
          <t>Available</t>
        </is>
      </c>
      <c r="S95" s="0" t="inlineStr">
        <is>
          <t>Show</t>
        </is>
      </c>
      <c r="W95" s="0" t="inlineStr"/>
      <c r="X95" s="0" t="inlineStr"/>
      <c r="Z95" s="168" t="n"/>
      <c r="AA95" s="0" t="n">
        <v>29000</v>
      </c>
      <c r="AB95" s="0" t="n">
        <v>29000</v>
      </c>
      <c r="AC95" s="0" t="inlineStr"/>
      <c r="AG95" s="168" t="n"/>
      <c r="AI95" s="168" t="inlineStr"/>
      <c r="AK95" s="0" t="inlineStr"/>
      <c r="AM95" s="168" t="inlineStr"/>
      <c r="AO95" s="168" t="n"/>
      <c r="AP95" s="0" t="inlineStr"/>
    </row>
    <row r="96">
      <c r="A96" s="0" t="inlineStr">
        <is>
          <t>GoFood</t>
        </is>
      </c>
      <c r="B96" s="0" t="inlineStr">
        <is>
          <t>Superfood (test)</t>
        </is>
      </c>
      <c r="C96" s="0" t="inlineStr">
        <is>
          <t>F</t>
        </is>
      </c>
      <c r="D96" s="0" t="inlineStr">
        <is>
          <t>https://gofood.link/a/G828092803</t>
        </is>
      </c>
      <c r="E96" s="0" t="inlineStr">
        <is>
          <t>G828092803</t>
        </is>
      </c>
      <c r="F96" s="0" t="inlineStr">
        <is>
          <t>60123c44-59ab-4467-b92e-b17c0bdd5ecf</t>
        </is>
      </c>
      <c r="G96" s="0" t="inlineStr">
        <is>
          <t>Burger &amp; Sandwich</t>
        </is>
      </c>
      <c r="H96" s="0" t="inlineStr">
        <is>
          <t>d6e28ec4-9a2c-46e4-b6e3-7ceef34c6285</t>
        </is>
      </c>
      <c r="I96" s="0" t="inlineStr">
        <is>
          <t>Sandwich Telur</t>
        </is>
      </c>
      <c r="J96" s="0" t="inlineStr"/>
      <c r="K96" s="0" t="inlineStr"/>
      <c r="L96" s="0" t="inlineStr"/>
      <c r="M96" s="0" t="inlineStr"/>
      <c r="N96" s="0" t="inlineStr"/>
      <c r="O96" s="0" t="n">
        <v>0</v>
      </c>
      <c r="P96" s="0" t="n">
        <v>0</v>
      </c>
      <c r="Q96" s="0" t="n">
        <v>0</v>
      </c>
      <c r="R96" s="0" t="inlineStr">
        <is>
          <t>Available</t>
        </is>
      </c>
      <c r="S96" s="0" t="inlineStr">
        <is>
          <t>Show</t>
        </is>
      </c>
      <c r="W96" s="0" t="inlineStr"/>
      <c r="X96" s="0" t="inlineStr"/>
      <c r="Z96" s="168" t="n"/>
      <c r="AA96" s="0" t="n">
        <v>17000</v>
      </c>
      <c r="AB96" s="0" t="n">
        <v>17000</v>
      </c>
      <c r="AC96" s="0" t="inlineStr"/>
      <c r="AG96" s="168" t="n"/>
      <c r="AI96" s="168" t="inlineStr"/>
      <c r="AK96" s="0" t="inlineStr"/>
      <c r="AM96" s="168" t="inlineStr"/>
      <c r="AO96" s="168" t="n"/>
      <c r="AP96" s="0" t="inlineStr"/>
    </row>
    <row r="97">
      <c r="A97" s="0" t="inlineStr">
        <is>
          <t>GoFood</t>
        </is>
      </c>
      <c r="B97" s="0" t="inlineStr">
        <is>
          <t>Superfood (test)</t>
        </is>
      </c>
      <c r="C97" s="0" t="inlineStr">
        <is>
          <t>F</t>
        </is>
      </c>
      <c r="D97" s="0" t="inlineStr">
        <is>
          <t>https://gofood.link/a/G828092803</t>
        </is>
      </c>
      <c r="E97" s="0" t="inlineStr">
        <is>
          <t>G828092803</t>
        </is>
      </c>
      <c r="F97" s="0" t="inlineStr">
        <is>
          <t>60123c44-59ab-4467-b92e-b17c0bdd5ecf</t>
        </is>
      </c>
      <c r="G97" s="0" t="inlineStr">
        <is>
          <t>Burger &amp; Sandwich</t>
        </is>
      </c>
      <c r="H97" s="0" t="inlineStr">
        <is>
          <t>1d553428-31d7-4ef5-aff3-0659b62e7696</t>
        </is>
      </c>
      <c r="I97" s="0" t="inlineStr">
        <is>
          <t>Sandwich Tuna</t>
        </is>
      </c>
      <c r="J97" s="0" t="inlineStr"/>
      <c r="K97" s="0" t="inlineStr"/>
      <c r="L97" s="0" t="inlineStr"/>
      <c r="M97" s="0" t="inlineStr"/>
      <c r="N97" s="0" t="inlineStr"/>
      <c r="O97" s="0" t="n">
        <v>0</v>
      </c>
      <c r="P97" s="0" t="n">
        <v>0</v>
      </c>
      <c r="Q97" s="0" t="n">
        <v>0</v>
      </c>
      <c r="R97" s="0" t="inlineStr">
        <is>
          <t>Available</t>
        </is>
      </c>
      <c r="S97" s="0" t="inlineStr">
        <is>
          <t>Show</t>
        </is>
      </c>
      <c r="W97" s="0" t="inlineStr"/>
      <c r="X97" s="0" t="inlineStr"/>
      <c r="Z97" s="168" t="n"/>
      <c r="AA97" s="0" t="n">
        <v>20000</v>
      </c>
      <c r="AB97" s="0" t="n">
        <v>20000</v>
      </c>
      <c r="AC97" s="0" t="inlineStr"/>
      <c r="AG97" s="168" t="n"/>
      <c r="AI97" s="168" t="inlineStr"/>
      <c r="AK97" s="0" t="inlineStr"/>
      <c r="AM97" s="168" t="inlineStr"/>
      <c r="AO97" s="168" t="n"/>
      <c r="AP97" s="0" t="inlineStr"/>
    </row>
    <row r="98">
      <c r="A98" s="0" t="inlineStr">
        <is>
          <t>GoFood</t>
        </is>
      </c>
      <c r="B98" s="0" t="inlineStr">
        <is>
          <t>Superfood (test)</t>
        </is>
      </c>
      <c r="C98" s="0" t="inlineStr">
        <is>
          <t>F</t>
        </is>
      </c>
      <c r="D98" s="0" t="inlineStr">
        <is>
          <t>https://gofood.link/a/G828092803</t>
        </is>
      </c>
      <c r="E98" s="0" t="inlineStr">
        <is>
          <t>G828092803</t>
        </is>
      </c>
      <c r="F98" s="0" t="inlineStr">
        <is>
          <t>60123c44-59ab-4467-b92e-b17c0bdd5ecf</t>
        </is>
      </c>
      <c r="G98" s="0" t="inlineStr">
        <is>
          <t>Burger &amp; Sandwich</t>
        </is>
      </c>
      <c r="H98" s="0" t="inlineStr">
        <is>
          <t>204eccce-a56d-4344-a19b-d156ecd6b8c9</t>
        </is>
      </c>
      <c r="I98" s="0" t="inlineStr">
        <is>
          <t>Sandwich Ayam Asap</t>
        </is>
      </c>
      <c r="J98" s="0" t="inlineStr"/>
      <c r="K98" s="0" t="inlineStr"/>
      <c r="L98" s="0" t="inlineStr"/>
      <c r="M98" s="0" t="inlineStr"/>
      <c r="N98" s="0" t="inlineStr"/>
      <c r="O98" s="0" t="n">
        <v>0</v>
      </c>
      <c r="P98" s="0" t="n">
        <v>0</v>
      </c>
      <c r="Q98" s="0" t="n">
        <v>0</v>
      </c>
      <c r="R98" s="0" t="inlineStr">
        <is>
          <t>Available</t>
        </is>
      </c>
      <c r="S98" s="0" t="inlineStr">
        <is>
          <t>Show</t>
        </is>
      </c>
      <c r="W98" s="0" t="inlineStr"/>
      <c r="X98" s="0" t="inlineStr"/>
      <c r="Z98" s="168" t="n"/>
      <c r="AA98" s="0" t="n">
        <v>22000</v>
      </c>
      <c r="AB98" s="0" t="n">
        <v>22000</v>
      </c>
      <c r="AC98" s="0" t="inlineStr"/>
      <c r="AG98" s="168" t="n"/>
      <c r="AI98" s="168" t="inlineStr"/>
      <c r="AK98" s="0" t="inlineStr"/>
      <c r="AM98" s="168" t="inlineStr"/>
      <c r="AO98" s="168" t="n"/>
      <c r="AP98" s="0" t="inlineStr"/>
    </row>
    <row r="99">
      <c r="A99" s="0" t="inlineStr">
        <is>
          <t>GoFood</t>
        </is>
      </c>
      <c r="B99" s="0" t="inlineStr">
        <is>
          <t>Superfood (test)</t>
        </is>
      </c>
      <c r="C99" s="0" t="inlineStr">
        <is>
          <t>F</t>
        </is>
      </c>
      <c r="D99" s="0" t="inlineStr">
        <is>
          <t>https://gofood.link/a/G828092803</t>
        </is>
      </c>
      <c r="E99" s="0" t="inlineStr">
        <is>
          <t>G828092803</t>
        </is>
      </c>
      <c r="F99" s="0" t="inlineStr">
        <is>
          <t>6d600724-ec52-4d02-aff4-986b60d59681</t>
        </is>
      </c>
      <c r="G99" s="0" t="inlineStr">
        <is>
          <t>Waffle &amp; Pancake</t>
        </is>
      </c>
      <c r="H99" s="0" t="inlineStr">
        <is>
          <t>e0dacab9-0561-443e-a3bb-bf29f5884e2b</t>
        </is>
      </c>
      <c r="I99" s="0" t="inlineStr">
        <is>
          <t>Waffle Keju</t>
        </is>
      </c>
      <c r="J99" s="0" t="inlineStr"/>
      <c r="K99" s="0" t="inlineStr"/>
      <c r="L99" s="0" t="inlineStr"/>
      <c r="M99" s="0" t="inlineStr"/>
      <c r="N99" s="0" t="inlineStr"/>
      <c r="O99" s="0" t="n">
        <v>0</v>
      </c>
      <c r="P99" s="0" t="n">
        <v>0</v>
      </c>
      <c r="Q99" s="0" t="n">
        <v>0</v>
      </c>
      <c r="R99" s="0" t="inlineStr">
        <is>
          <t>Available</t>
        </is>
      </c>
      <c r="S99" s="0" t="inlineStr">
        <is>
          <t>Show</t>
        </is>
      </c>
      <c r="W99" s="0" t="inlineStr"/>
      <c r="X99" s="0" t="inlineStr"/>
      <c r="Z99" s="168" t="n"/>
      <c r="AA99" s="0" t="n">
        <v>24000</v>
      </c>
      <c r="AB99" s="0" t="n">
        <v>24000</v>
      </c>
      <c r="AC99" s="0" t="inlineStr"/>
      <c r="AG99" s="168" t="n"/>
      <c r="AI99" s="168" t="inlineStr"/>
      <c r="AK99" s="0" t="inlineStr"/>
      <c r="AM99" s="168" t="inlineStr"/>
      <c r="AO99" s="168" t="n"/>
      <c r="AP99" s="0" t="inlineStr"/>
    </row>
    <row r="100">
      <c r="A100" s="0" t="inlineStr">
        <is>
          <t>GoFood</t>
        </is>
      </c>
      <c r="B100" s="0" t="inlineStr">
        <is>
          <t>Superfood (test)</t>
        </is>
      </c>
      <c r="C100" s="0" t="inlineStr">
        <is>
          <t>F</t>
        </is>
      </c>
      <c r="D100" s="0" t="inlineStr">
        <is>
          <t>https://gofood.link/a/G828092803</t>
        </is>
      </c>
      <c r="E100" s="0" t="inlineStr">
        <is>
          <t>G828092803</t>
        </is>
      </c>
      <c r="F100" s="0" t="inlineStr">
        <is>
          <t>6d600724-ec52-4d02-aff4-986b60d59681</t>
        </is>
      </c>
      <c r="G100" s="0" t="inlineStr">
        <is>
          <t>Waffle &amp; Pancake</t>
        </is>
      </c>
      <c r="H100" s="0" t="inlineStr">
        <is>
          <t>eb8c7a17-531c-496b-9892-f7bbcb25026c</t>
        </is>
      </c>
      <c r="I100" s="0" t="inlineStr">
        <is>
          <t>Waffle Pisang</t>
        </is>
      </c>
      <c r="J100" s="0" t="inlineStr"/>
      <c r="K100" s="0" t="inlineStr"/>
      <c r="L100" s="0" t="inlineStr"/>
      <c r="M100" s="0" t="inlineStr"/>
      <c r="N100" s="0" t="inlineStr"/>
      <c r="O100" s="0" t="n">
        <v>0</v>
      </c>
      <c r="P100" s="0" t="n">
        <v>0</v>
      </c>
      <c r="Q100" s="0" t="n">
        <v>0</v>
      </c>
      <c r="R100" s="0" t="inlineStr">
        <is>
          <t>Available</t>
        </is>
      </c>
      <c r="S100" s="0" t="inlineStr">
        <is>
          <t>Show</t>
        </is>
      </c>
      <c r="W100" s="0" t="inlineStr"/>
      <c r="X100" s="0" t="inlineStr"/>
      <c r="Z100" s="168" t="n"/>
      <c r="AA100" s="0" t="n">
        <v>22000</v>
      </c>
      <c r="AB100" s="0" t="n">
        <v>22000</v>
      </c>
      <c r="AC100" s="0" t="inlineStr"/>
      <c r="AG100" s="168" t="n"/>
      <c r="AI100" s="168" t="inlineStr"/>
      <c r="AK100" s="0" t="inlineStr"/>
      <c r="AM100" s="168" t="inlineStr"/>
      <c r="AO100" s="168" t="n"/>
      <c r="AP100" s="0" t="inlineStr"/>
    </row>
    <row r="101">
      <c r="A101" s="0" t="inlineStr">
        <is>
          <t>GoFood</t>
        </is>
      </c>
      <c r="B101" s="0" t="inlineStr">
        <is>
          <t>Superfood (test)</t>
        </is>
      </c>
      <c r="C101" s="0" t="inlineStr">
        <is>
          <t>F</t>
        </is>
      </c>
      <c r="D101" s="0" t="inlineStr">
        <is>
          <t>https://gofood.link/a/G828092803</t>
        </is>
      </c>
      <c r="E101" s="0" t="inlineStr">
        <is>
          <t>G828092803</t>
        </is>
      </c>
      <c r="F101" s="0" t="inlineStr">
        <is>
          <t>6d600724-ec52-4d02-aff4-986b60d59681</t>
        </is>
      </c>
      <c r="G101" s="0" t="inlineStr">
        <is>
          <t>Waffle &amp; Pancake</t>
        </is>
      </c>
      <c r="H101" s="0" t="inlineStr">
        <is>
          <t>2906172c-7ae6-446d-98ef-25be60bea4ac</t>
        </is>
      </c>
      <c r="I101" s="0" t="inlineStr">
        <is>
          <t>Pancake Blueberry</t>
        </is>
      </c>
      <c r="J101" s="0" t="inlineStr"/>
      <c r="K101" s="0" t="inlineStr"/>
      <c r="L101" s="0" t="inlineStr"/>
      <c r="M101" s="0" t="inlineStr"/>
      <c r="N101" s="0" t="inlineStr"/>
      <c r="O101" s="0" t="n">
        <v>0</v>
      </c>
      <c r="P101" s="0" t="n">
        <v>0</v>
      </c>
      <c r="Q101" s="0" t="n">
        <v>0</v>
      </c>
      <c r="R101" s="0" t="inlineStr">
        <is>
          <t>Available</t>
        </is>
      </c>
      <c r="S101" s="0" t="inlineStr">
        <is>
          <t>Show</t>
        </is>
      </c>
      <c r="W101" s="0" t="inlineStr"/>
      <c r="X101" s="0" t="inlineStr"/>
      <c r="Z101" s="168" t="n"/>
      <c r="AA101" s="0" t="n">
        <v>24000</v>
      </c>
      <c r="AB101" s="0" t="n">
        <v>24000</v>
      </c>
      <c r="AC101" s="0" t="inlineStr"/>
      <c r="AG101" s="168" t="n"/>
      <c r="AI101" s="168" t="inlineStr"/>
      <c r="AK101" s="0" t="inlineStr"/>
      <c r="AM101" s="168" t="inlineStr"/>
      <c r="AO101" s="168" t="n"/>
      <c r="AP101" s="0" t="inlineStr"/>
    </row>
    <row r="102">
      <c r="A102" s="0" t="inlineStr">
        <is>
          <t>GoFood</t>
        </is>
      </c>
      <c r="B102" s="0" t="inlineStr">
        <is>
          <t>Superfood (test)</t>
        </is>
      </c>
      <c r="C102" s="0" t="inlineStr">
        <is>
          <t>F</t>
        </is>
      </c>
      <c r="D102" s="0" t="inlineStr">
        <is>
          <t>https://gofood.link/a/G828092803</t>
        </is>
      </c>
      <c r="E102" s="0" t="inlineStr">
        <is>
          <t>G828092803</t>
        </is>
      </c>
      <c r="F102" s="0" t="inlineStr">
        <is>
          <t>6d600724-ec52-4d02-aff4-986b60d59681</t>
        </is>
      </c>
      <c r="G102" s="0" t="inlineStr">
        <is>
          <t>Waffle &amp; Pancake</t>
        </is>
      </c>
      <c r="H102" s="0" t="inlineStr">
        <is>
          <t>bae202c3-7f60-46fd-b53b-7330d7fed301</t>
        </is>
      </c>
      <c r="I102" s="0" t="inlineStr">
        <is>
          <t>Pancake Coklat</t>
        </is>
      </c>
      <c r="J102" s="0" t="inlineStr"/>
      <c r="K102" s="0" t="inlineStr"/>
      <c r="L102" s="0" t="inlineStr"/>
      <c r="M102" s="0" t="inlineStr"/>
      <c r="N102" s="0" t="inlineStr"/>
      <c r="O102" s="0" t="n">
        <v>0</v>
      </c>
      <c r="P102" s="0" t="n">
        <v>0</v>
      </c>
      <c r="Q102" s="0" t="n">
        <v>0</v>
      </c>
      <c r="R102" s="0" t="inlineStr">
        <is>
          <t>Available</t>
        </is>
      </c>
      <c r="S102" s="0" t="inlineStr">
        <is>
          <t>Show</t>
        </is>
      </c>
      <c r="W102" s="0" t="inlineStr"/>
      <c r="X102" s="0" t="inlineStr"/>
      <c r="Z102" s="168" t="n"/>
      <c r="AA102" s="0" t="n">
        <v>22000</v>
      </c>
      <c r="AB102" s="0" t="n">
        <v>22000</v>
      </c>
      <c r="AC102" s="0" t="inlineStr"/>
      <c r="AG102" s="168" t="n"/>
      <c r="AI102" s="168" t="inlineStr"/>
      <c r="AK102" s="0" t="inlineStr"/>
      <c r="AM102" s="168" t="inlineStr"/>
      <c r="AO102" s="168" t="n"/>
      <c r="AP102" s="0" t="inlineStr"/>
    </row>
    <row r="103">
      <c r="A103" s="0" t="inlineStr">
        <is>
          <t>GoFood</t>
        </is>
      </c>
      <c r="B103" s="0" t="inlineStr">
        <is>
          <t>Superfood (test)</t>
        </is>
      </c>
      <c r="C103" s="0" t="inlineStr">
        <is>
          <t>F</t>
        </is>
      </c>
      <c r="D103" s="0" t="inlineStr">
        <is>
          <t>https://gofood.link/a/G828092803</t>
        </is>
      </c>
      <c r="E103" s="0" t="inlineStr">
        <is>
          <t>G828092803</t>
        </is>
      </c>
      <c r="F103" s="0" t="inlineStr">
        <is>
          <t>5f389d5a-c355-4cfc-9f8d-bf81b298746e</t>
        </is>
      </c>
      <c r="G103" s="0" t="inlineStr">
        <is>
          <t>Roti Kukus</t>
        </is>
      </c>
      <c r="H103" s="0" t="inlineStr">
        <is>
          <t>44df8d13-a630-4d86-9388-73140c3ef8b5</t>
        </is>
      </c>
      <c r="I103" s="0" t="inlineStr">
        <is>
          <t>Roti Kukus Keju</t>
        </is>
      </c>
      <c r="J103" s="0" t="inlineStr"/>
      <c r="K103" s="0" t="inlineStr"/>
      <c r="L103" s="0" t="inlineStr"/>
      <c r="M103" s="0" t="inlineStr"/>
      <c r="N103" s="0" t="inlineStr"/>
      <c r="O103" s="0" t="n">
        <v>0</v>
      </c>
      <c r="P103" s="0" t="n">
        <v>0</v>
      </c>
      <c r="Q103" s="0" t="n">
        <v>0</v>
      </c>
      <c r="R103" s="0" t="inlineStr">
        <is>
          <t>Available</t>
        </is>
      </c>
      <c r="S103" s="0" t="inlineStr">
        <is>
          <t>Show</t>
        </is>
      </c>
      <c r="W103" s="0" t="inlineStr"/>
      <c r="X103" s="0" t="inlineStr"/>
      <c r="Z103" s="168" t="n"/>
      <c r="AA103" s="0" t="n">
        <v>20000</v>
      </c>
      <c r="AB103" s="0" t="n">
        <v>20000</v>
      </c>
      <c r="AC103" s="0" t="inlineStr"/>
      <c r="AG103" s="168" t="n"/>
      <c r="AI103" s="168" t="inlineStr"/>
      <c r="AK103" s="0" t="inlineStr"/>
      <c r="AM103" s="168" t="inlineStr"/>
      <c r="AO103" s="168" t="n"/>
      <c r="AP103" s="0" t="inlineStr"/>
    </row>
    <row r="104">
      <c r="A104" s="0" t="inlineStr">
        <is>
          <t>GoFood</t>
        </is>
      </c>
      <c r="B104" s="0" t="inlineStr">
        <is>
          <t>Superfood (test)</t>
        </is>
      </c>
      <c r="C104" s="0" t="inlineStr">
        <is>
          <t>F</t>
        </is>
      </c>
      <c r="D104" s="0" t="inlineStr">
        <is>
          <t>https://gofood.link/a/G828092803</t>
        </is>
      </c>
      <c r="E104" s="0" t="inlineStr">
        <is>
          <t>G828092803</t>
        </is>
      </c>
      <c r="F104" s="0" t="inlineStr">
        <is>
          <t>5f389d5a-c355-4cfc-9f8d-bf81b298746e</t>
        </is>
      </c>
      <c r="G104" s="0" t="inlineStr">
        <is>
          <t>Roti Kukus</t>
        </is>
      </c>
      <c r="H104" s="0" t="inlineStr">
        <is>
          <t>b100b888-3ab1-47b1-87f6-c1c334e3371b</t>
        </is>
      </c>
      <c r="I104" s="0" t="inlineStr">
        <is>
          <t>Roti Kukus Coklat</t>
        </is>
      </c>
      <c r="J104" s="0" t="inlineStr"/>
      <c r="K104" s="0" t="inlineStr"/>
      <c r="L104" s="0" t="inlineStr"/>
      <c r="M104" s="0" t="inlineStr"/>
      <c r="N104" s="0" t="inlineStr"/>
      <c r="O104" s="0" t="n">
        <v>0</v>
      </c>
      <c r="P104" s="0" t="n">
        <v>0</v>
      </c>
      <c r="Q104" s="0" t="n">
        <v>0</v>
      </c>
      <c r="R104" s="0" t="inlineStr">
        <is>
          <t>Available</t>
        </is>
      </c>
      <c r="S104" s="0" t="inlineStr">
        <is>
          <t>Show</t>
        </is>
      </c>
      <c r="W104" s="0" t="inlineStr"/>
      <c r="X104" s="0" t="inlineStr"/>
      <c r="Z104" s="168" t="n"/>
      <c r="AA104" s="0" t="n">
        <v>20000</v>
      </c>
      <c r="AB104" s="0" t="n">
        <v>20000</v>
      </c>
      <c r="AC104" s="0" t="inlineStr"/>
      <c r="AG104" s="168" t="n"/>
      <c r="AI104" s="168" t="inlineStr"/>
      <c r="AK104" s="0" t="inlineStr"/>
      <c r="AM104" s="168" t="inlineStr"/>
      <c r="AO104" s="168" t="n"/>
      <c r="AP104" s="0" t="inlineStr"/>
    </row>
    <row r="105">
      <c r="A105" s="0" t="inlineStr">
        <is>
          <t>GoFood</t>
        </is>
      </c>
      <c r="B105" s="0" t="inlineStr">
        <is>
          <t>Superfood (test)</t>
        </is>
      </c>
      <c r="C105" s="0" t="inlineStr">
        <is>
          <t>F</t>
        </is>
      </c>
      <c r="D105" s="0" t="inlineStr">
        <is>
          <t>https://gofood.link/a/G828092803</t>
        </is>
      </c>
      <c r="E105" s="0" t="inlineStr">
        <is>
          <t>G828092803</t>
        </is>
      </c>
      <c r="F105" s="0" t="inlineStr">
        <is>
          <t>5f389d5a-c355-4cfc-9f8d-bf81b298746e</t>
        </is>
      </c>
      <c r="G105" s="0" t="inlineStr">
        <is>
          <t>Roti Kukus</t>
        </is>
      </c>
      <c r="H105" s="0" t="inlineStr">
        <is>
          <t>bde7e226-4d4d-4084-84ad-781547e88f8e</t>
        </is>
      </c>
      <c r="I105" s="0" t="inlineStr">
        <is>
          <t>Roti Kukus Pandan</t>
        </is>
      </c>
      <c r="J105" s="0" t="inlineStr"/>
      <c r="K105" s="0" t="inlineStr"/>
      <c r="L105" s="0" t="inlineStr"/>
      <c r="M105" s="0" t="inlineStr"/>
      <c r="N105" s="0" t="inlineStr"/>
      <c r="O105" s="0" t="n">
        <v>0</v>
      </c>
      <c r="P105" s="0" t="n">
        <v>0</v>
      </c>
      <c r="Q105" s="0" t="n">
        <v>0</v>
      </c>
      <c r="R105" s="0" t="inlineStr">
        <is>
          <t>Available</t>
        </is>
      </c>
      <c r="S105" s="0" t="inlineStr">
        <is>
          <t>Show</t>
        </is>
      </c>
      <c r="W105" s="0" t="inlineStr"/>
      <c r="X105" s="0" t="inlineStr"/>
      <c r="Z105" s="168" t="n"/>
      <c r="AA105" s="0" t="n">
        <v>20000</v>
      </c>
      <c r="AB105" s="0" t="n">
        <v>20000</v>
      </c>
      <c r="AC105" s="0" t="inlineStr"/>
      <c r="AG105" s="168" t="n"/>
      <c r="AI105" s="168" t="inlineStr"/>
      <c r="AK105" s="0" t="inlineStr"/>
      <c r="AM105" s="168" t="inlineStr"/>
      <c r="AO105" s="168" t="n"/>
      <c r="AP105" s="0" t="inlineStr"/>
    </row>
    <row r="106">
      <c r="A106" s="0" t="inlineStr">
        <is>
          <t>GoFood</t>
        </is>
      </c>
      <c r="B106" s="0" t="inlineStr">
        <is>
          <t>Superfood (test)</t>
        </is>
      </c>
      <c r="C106" s="0" t="inlineStr">
        <is>
          <t>F</t>
        </is>
      </c>
      <c r="D106" s="0" t="inlineStr">
        <is>
          <t>https://gofood.link/a/G828092803</t>
        </is>
      </c>
      <c r="E106" s="0" t="inlineStr">
        <is>
          <t>G828092803</t>
        </is>
      </c>
      <c r="F106" s="0" t="inlineStr">
        <is>
          <t>5f389d5a-c355-4cfc-9f8d-bf81b298746e</t>
        </is>
      </c>
      <c r="G106" s="0" t="inlineStr">
        <is>
          <t>Roti Kukus</t>
        </is>
      </c>
      <c r="H106" s="0" t="inlineStr">
        <is>
          <t>384263c4-a2f7-4efc-8652-8ee24136e019</t>
        </is>
      </c>
      <c r="I106" s="0" t="inlineStr">
        <is>
          <t>Roti Kukus Vanilla</t>
        </is>
      </c>
      <c r="J106" s="0" t="inlineStr"/>
      <c r="K106" s="0" t="inlineStr"/>
      <c r="L106" s="0" t="inlineStr"/>
      <c r="M106" s="0" t="inlineStr"/>
      <c r="N106" s="0" t="inlineStr"/>
      <c r="O106" s="0" t="n">
        <v>0</v>
      </c>
      <c r="P106" s="0" t="n">
        <v>0</v>
      </c>
      <c r="Q106" s="0" t="n">
        <v>0</v>
      </c>
      <c r="R106" s="0" t="inlineStr">
        <is>
          <t>Available</t>
        </is>
      </c>
      <c r="S106" s="0" t="inlineStr">
        <is>
          <t>Show</t>
        </is>
      </c>
      <c r="W106" s="0" t="inlineStr"/>
      <c r="X106" s="0" t="inlineStr"/>
      <c r="Z106" s="168" t="n"/>
      <c r="AA106" s="0" t="n">
        <v>20000</v>
      </c>
      <c r="AB106" s="0" t="n">
        <v>20000</v>
      </c>
      <c r="AC106" s="0" t="inlineStr"/>
      <c r="AG106" s="168" t="n"/>
      <c r="AI106" s="168" t="inlineStr"/>
      <c r="AK106" s="0" t="inlineStr"/>
      <c r="AM106" s="168" t="inlineStr"/>
      <c r="AO106" s="168" t="n"/>
      <c r="AP106" s="0" t="inlineStr"/>
    </row>
    <row r="107">
      <c r="A107" s="0" t="inlineStr">
        <is>
          <t>GoFood</t>
        </is>
      </c>
      <c r="B107" s="0" t="inlineStr">
        <is>
          <t>Superfood (test)</t>
        </is>
      </c>
      <c r="C107" s="0" t="inlineStr">
        <is>
          <t>F</t>
        </is>
      </c>
      <c r="D107" s="0" t="inlineStr">
        <is>
          <t>https://gofood.link/a/G828092803</t>
        </is>
      </c>
      <c r="E107" s="0" t="inlineStr">
        <is>
          <t>G828092803</t>
        </is>
      </c>
      <c r="F107" s="0" t="inlineStr">
        <is>
          <t>fea135fc-3640-4ecb-b4c8-3424e355cd8d</t>
        </is>
      </c>
      <c r="G107" s="0" t="inlineStr">
        <is>
          <t>Jus</t>
        </is>
      </c>
      <c r="H107" s="0" t="inlineStr">
        <is>
          <t>c2916a7b-b56d-44d7-a17d-9e213616f9fc</t>
        </is>
      </c>
      <c r="I107" s="0" t="inlineStr">
        <is>
          <t>Jus Alpukat</t>
        </is>
      </c>
      <c r="J107" s="0" t="inlineStr"/>
      <c r="K107" s="0" t="inlineStr"/>
      <c r="L107" s="0" t="inlineStr"/>
      <c r="M107" s="0" t="inlineStr"/>
      <c r="N107" s="0" t="inlineStr"/>
      <c r="O107" s="0" t="n">
        <v>0</v>
      </c>
      <c r="P107" s="0" t="n">
        <v>0</v>
      </c>
      <c r="Q107" s="0" t="n">
        <v>0</v>
      </c>
      <c r="R107" s="0" t="inlineStr">
        <is>
          <t>Available</t>
        </is>
      </c>
      <c r="S107" s="0" t="inlineStr">
        <is>
          <t>Show</t>
        </is>
      </c>
      <c r="W107" s="0" t="inlineStr"/>
      <c r="X107" s="0" t="inlineStr"/>
      <c r="Z107" s="168" t="n"/>
      <c r="AA107" s="0" t="n">
        <v>17000</v>
      </c>
      <c r="AB107" s="0" t="n">
        <v>17000</v>
      </c>
      <c r="AC107" s="0" t="inlineStr"/>
      <c r="AG107" s="168" t="n"/>
      <c r="AI107" s="168" t="inlineStr"/>
      <c r="AK107" s="0" t="inlineStr"/>
      <c r="AM107" s="168" t="inlineStr"/>
      <c r="AO107" s="168" t="n"/>
      <c r="AP107" s="0" t="inlineStr"/>
    </row>
    <row r="108">
      <c r="A108" s="0" t="inlineStr">
        <is>
          <t>GoFood</t>
        </is>
      </c>
      <c r="B108" s="0" t="inlineStr">
        <is>
          <t>Superfood (test)</t>
        </is>
      </c>
      <c r="C108" s="0" t="inlineStr">
        <is>
          <t>F</t>
        </is>
      </c>
      <c r="D108" s="0" t="inlineStr">
        <is>
          <t>https://gofood.link/a/G828092803</t>
        </is>
      </c>
      <c r="E108" s="0" t="inlineStr">
        <is>
          <t>G828092803</t>
        </is>
      </c>
      <c r="F108" s="0" t="inlineStr">
        <is>
          <t>fea135fc-3640-4ecb-b4c8-3424e355cd8d</t>
        </is>
      </c>
      <c r="G108" s="0" t="inlineStr">
        <is>
          <t>Jus</t>
        </is>
      </c>
      <c r="H108" s="0" t="inlineStr">
        <is>
          <t>43333770-e475-4470-b0e7-4c54945c8d73</t>
        </is>
      </c>
      <c r="I108" s="0" t="inlineStr">
        <is>
          <t>Jus Mangga</t>
        </is>
      </c>
      <c r="J108" s="0" t="inlineStr"/>
      <c r="K108" s="0" t="inlineStr"/>
      <c r="L108" s="0" t="inlineStr"/>
      <c r="M108" s="0" t="inlineStr"/>
      <c r="N108" s="0" t="inlineStr"/>
      <c r="O108" s="0" t="n">
        <v>0</v>
      </c>
      <c r="P108" s="0" t="n">
        <v>0</v>
      </c>
      <c r="Q108" s="0" t="n">
        <v>0</v>
      </c>
      <c r="R108" s="0" t="inlineStr">
        <is>
          <t>Available</t>
        </is>
      </c>
      <c r="S108" s="0" t="inlineStr">
        <is>
          <t>Show</t>
        </is>
      </c>
      <c r="W108" s="0" t="inlineStr"/>
      <c r="X108" s="0" t="inlineStr"/>
      <c r="Z108" s="168" t="n"/>
      <c r="AA108" s="0" t="n">
        <v>17000</v>
      </c>
      <c r="AB108" s="0" t="n">
        <v>17000</v>
      </c>
      <c r="AC108" s="0" t="inlineStr"/>
      <c r="AG108" s="168" t="n"/>
      <c r="AI108" s="168" t="inlineStr"/>
      <c r="AK108" s="0" t="inlineStr"/>
      <c r="AM108" s="168" t="inlineStr"/>
      <c r="AO108" s="168" t="n"/>
      <c r="AP108" s="0" t="inlineStr"/>
    </row>
    <row r="109">
      <c r="A109" s="0" t="inlineStr">
        <is>
          <t>GoFood</t>
        </is>
      </c>
      <c r="B109" s="0" t="inlineStr">
        <is>
          <t>Superfood (test)</t>
        </is>
      </c>
      <c r="C109" s="0" t="inlineStr">
        <is>
          <t>F</t>
        </is>
      </c>
      <c r="D109" s="0" t="inlineStr">
        <is>
          <t>https://gofood.link/a/G828092803</t>
        </is>
      </c>
      <c r="E109" s="0" t="inlineStr">
        <is>
          <t>G828092803</t>
        </is>
      </c>
      <c r="F109" s="0" t="inlineStr">
        <is>
          <t>fea135fc-3640-4ecb-b4c8-3424e355cd8d</t>
        </is>
      </c>
      <c r="G109" s="0" t="inlineStr">
        <is>
          <t>Jus</t>
        </is>
      </c>
      <c r="H109" s="0" t="inlineStr">
        <is>
          <t>f0ed87ec-2ee6-4ea4-819d-d8ac127435ce</t>
        </is>
      </c>
      <c r="I109" s="0" t="inlineStr">
        <is>
          <t>Jus Jeruk</t>
        </is>
      </c>
      <c r="J109" s="0" t="inlineStr"/>
      <c r="K109" s="0" t="inlineStr"/>
      <c r="L109" s="0" t="inlineStr"/>
      <c r="M109" s="0" t="inlineStr"/>
      <c r="N109" s="0" t="inlineStr"/>
      <c r="O109" s="0" t="n">
        <v>0</v>
      </c>
      <c r="P109" s="0" t="n">
        <v>0</v>
      </c>
      <c r="Q109" s="0" t="n">
        <v>0</v>
      </c>
      <c r="R109" s="0" t="inlineStr">
        <is>
          <t>Available</t>
        </is>
      </c>
      <c r="S109" s="0" t="inlineStr">
        <is>
          <t>Show</t>
        </is>
      </c>
      <c r="W109" s="0" t="inlineStr"/>
      <c r="X109" s="0" t="inlineStr"/>
      <c r="Z109" s="168" t="n"/>
      <c r="AA109" s="0" t="n">
        <v>14000</v>
      </c>
      <c r="AB109" s="0" t="n">
        <v>14000</v>
      </c>
      <c r="AC109" s="0" t="inlineStr"/>
      <c r="AG109" s="168" t="n"/>
      <c r="AI109" s="168" t="inlineStr"/>
      <c r="AK109" s="0" t="inlineStr"/>
      <c r="AM109" s="168" t="inlineStr"/>
      <c r="AO109" s="168" t="n"/>
      <c r="AP109" s="0" t="inlineStr"/>
    </row>
    <row r="110">
      <c r="A110" s="0" t="inlineStr">
        <is>
          <t>GoFood</t>
        </is>
      </c>
      <c r="B110" s="0" t="inlineStr">
        <is>
          <t>Superfood (test)</t>
        </is>
      </c>
      <c r="C110" s="0" t="inlineStr">
        <is>
          <t>F</t>
        </is>
      </c>
      <c r="D110" s="0" t="inlineStr">
        <is>
          <t>https://gofood.link/a/G828092803</t>
        </is>
      </c>
      <c r="E110" s="0" t="inlineStr">
        <is>
          <t>G828092803</t>
        </is>
      </c>
      <c r="F110" s="0" t="inlineStr">
        <is>
          <t>fea135fc-3640-4ecb-b4c8-3424e355cd8d</t>
        </is>
      </c>
      <c r="G110" s="0" t="inlineStr">
        <is>
          <t>Jus</t>
        </is>
      </c>
      <c r="H110" s="0" t="inlineStr">
        <is>
          <t>d6f83fd3-70af-4d19-b5e8-89a03240304c</t>
        </is>
      </c>
      <c r="I110" s="0" t="inlineStr">
        <is>
          <t>Jus Melon</t>
        </is>
      </c>
      <c r="J110" s="0" t="inlineStr"/>
      <c r="K110" s="0" t="inlineStr"/>
      <c r="L110" s="0" t="inlineStr"/>
      <c r="M110" s="0" t="inlineStr"/>
      <c r="N110" s="0" t="inlineStr"/>
      <c r="O110" s="0" t="n">
        <v>0</v>
      </c>
      <c r="P110" s="0" t="n">
        <v>0</v>
      </c>
      <c r="Q110" s="0" t="n">
        <v>0</v>
      </c>
      <c r="R110" s="0" t="inlineStr">
        <is>
          <t>Available</t>
        </is>
      </c>
      <c r="S110" s="0" t="inlineStr">
        <is>
          <t>Show</t>
        </is>
      </c>
      <c r="W110" s="0" t="inlineStr"/>
      <c r="X110" s="0" t="inlineStr"/>
      <c r="Z110" s="168" t="n"/>
      <c r="AA110" s="0" t="n">
        <v>17000</v>
      </c>
      <c r="AB110" s="0" t="n">
        <v>17000</v>
      </c>
      <c r="AC110" s="0" t="inlineStr"/>
      <c r="AG110" s="168" t="n"/>
      <c r="AI110" s="168" t="inlineStr"/>
      <c r="AK110" s="0" t="inlineStr"/>
      <c r="AM110" s="168" t="inlineStr"/>
      <c r="AO110" s="168" t="n"/>
      <c r="AP110" s="0" t="inlineStr"/>
    </row>
    <row r="111">
      <c r="A111" s="0" t="inlineStr">
        <is>
          <t>GoFood</t>
        </is>
      </c>
      <c r="B111" s="0" t="inlineStr">
        <is>
          <t>Superfood (test)</t>
        </is>
      </c>
      <c r="C111" s="0" t="inlineStr">
        <is>
          <t>F</t>
        </is>
      </c>
      <c r="D111" s="0" t="inlineStr">
        <is>
          <t>https://gofood.link/a/G828092803</t>
        </is>
      </c>
      <c r="E111" s="0" t="inlineStr">
        <is>
          <t>G828092803</t>
        </is>
      </c>
      <c r="F111" s="0" t="inlineStr">
        <is>
          <t>fea135fc-3640-4ecb-b4c8-3424e355cd8d</t>
        </is>
      </c>
      <c r="G111" s="0" t="inlineStr">
        <is>
          <t>Jus</t>
        </is>
      </c>
      <c r="H111" s="0" t="inlineStr">
        <is>
          <t>330041cf-4cb8-4c33-91ff-33f32d37af56</t>
        </is>
      </c>
      <c r="I111" s="0" t="inlineStr">
        <is>
          <t>Jus Semangka</t>
        </is>
      </c>
      <c r="J111" s="0" t="inlineStr"/>
      <c r="K111" s="0" t="inlineStr"/>
      <c r="L111" s="0" t="inlineStr"/>
      <c r="M111" s="0" t="inlineStr"/>
      <c r="N111" s="0" t="inlineStr"/>
      <c r="O111" s="0" t="n">
        <v>0</v>
      </c>
      <c r="P111" s="0" t="n">
        <v>0</v>
      </c>
      <c r="Q111" s="0" t="n">
        <v>0</v>
      </c>
      <c r="R111" s="0" t="inlineStr">
        <is>
          <t>Available</t>
        </is>
      </c>
      <c r="S111" s="0" t="inlineStr">
        <is>
          <t>Show</t>
        </is>
      </c>
      <c r="W111" s="0" t="inlineStr"/>
      <c r="X111" s="0" t="inlineStr"/>
      <c r="Z111" s="168" t="n"/>
      <c r="AA111" s="0" t="n">
        <v>14000</v>
      </c>
      <c r="AB111" s="0" t="n">
        <v>14000</v>
      </c>
      <c r="AC111" s="0" t="inlineStr"/>
      <c r="AG111" s="168" t="n"/>
      <c r="AI111" s="168" t="inlineStr"/>
      <c r="AK111" s="0" t="inlineStr"/>
      <c r="AM111" s="168" t="inlineStr"/>
      <c r="AO111" s="168" t="n"/>
      <c r="AP111" s="0" t="inlineStr"/>
    </row>
    <row r="112">
      <c r="A112" s="0" t="inlineStr">
        <is>
          <t>GoFood</t>
        </is>
      </c>
      <c r="B112" s="0" t="inlineStr">
        <is>
          <t>Superfood (test)</t>
        </is>
      </c>
      <c r="C112" s="0" t="inlineStr">
        <is>
          <t>F</t>
        </is>
      </c>
      <c r="D112" s="0" t="inlineStr">
        <is>
          <t>https://gofood.link/a/G828092803</t>
        </is>
      </c>
      <c r="E112" s="0" t="inlineStr">
        <is>
          <t>G828092803</t>
        </is>
      </c>
      <c r="F112" s="0" t="inlineStr">
        <is>
          <t>fea135fc-3640-4ecb-b4c8-3424e355cd8d</t>
        </is>
      </c>
      <c r="G112" s="0" t="inlineStr">
        <is>
          <t>Jus</t>
        </is>
      </c>
      <c r="H112" s="0" t="inlineStr">
        <is>
          <t>ddc21e98-3db0-4ebe-a3aa-42d35e170f35</t>
        </is>
      </c>
      <c r="I112" s="0" t="inlineStr">
        <is>
          <t>Jus Wortel</t>
        </is>
      </c>
      <c r="J112" s="0" t="inlineStr"/>
      <c r="K112" s="0" t="inlineStr"/>
      <c r="L112" s="0" t="inlineStr"/>
      <c r="M112" s="0" t="inlineStr"/>
      <c r="N112" s="0" t="inlineStr"/>
      <c r="O112" s="0" t="n">
        <v>0</v>
      </c>
      <c r="P112" s="0" t="n">
        <v>0</v>
      </c>
      <c r="Q112" s="0" t="n">
        <v>0</v>
      </c>
      <c r="R112" s="0" t="inlineStr">
        <is>
          <t>Available</t>
        </is>
      </c>
      <c r="S112" s="0" t="inlineStr">
        <is>
          <t>Show</t>
        </is>
      </c>
      <c r="W112" s="0" t="inlineStr"/>
      <c r="X112" s="0" t="inlineStr"/>
      <c r="Z112" s="168" t="n"/>
      <c r="AA112" s="0" t="n">
        <v>14000</v>
      </c>
      <c r="AB112" s="0" t="n">
        <v>14000</v>
      </c>
      <c r="AC112" s="0" t="inlineStr"/>
      <c r="AG112" s="168" t="n"/>
      <c r="AI112" s="168" t="inlineStr"/>
      <c r="AK112" s="0" t="inlineStr"/>
      <c r="AM112" s="168" t="inlineStr"/>
      <c r="AO112" s="168" t="n"/>
      <c r="AP112" s="0" t="inlineStr"/>
    </row>
    <row r="113">
      <c r="A113" s="0" t="inlineStr">
        <is>
          <t>GoFood</t>
        </is>
      </c>
      <c r="B113" s="0" t="inlineStr">
        <is>
          <t>Superfood (test)</t>
        </is>
      </c>
      <c r="C113" s="0" t="inlineStr">
        <is>
          <t>F</t>
        </is>
      </c>
      <c r="D113" s="0" t="inlineStr">
        <is>
          <t>https://gofood.link/a/G828092803</t>
        </is>
      </c>
      <c r="E113" s="0" t="inlineStr">
        <is>
          <t>G828092803</t>
        </is>
      </c>
      <c r="F113" s="0" t="inlineStr">
        <is>
          <t>fea135fc-3640-4ecb-b4c8-3424e355cd8d</t>
        </is>
      </c>
      <c r="G113" s="0" t="inlineStr">
        <is>
          <t>Jus</t>
        </is>
      </c>
      <c r="H113" s="0" t="inlineStr">
        <is>
          <t>b1fd1aca-66f6-490d-9efe-9134229e7f26</t>
        </is>
      </c>
      <c r="I113" s="0" t="inlineStr">
        <is>
          <t>Jus Tomat</t>
        </is>
      </c>
      <c r="J113" s="0" t="inlineStr"/>
      <c r="K113" s="0" t="inlineStr"/>
      <c r="L113" s="0" t="inlineStr"/>
      <c r="M113" s="0" t="inlineStr"/>
      <c r="N113" s="0" t="inlineStr"/>
      <c r="O113" s="0" t="n">
        <v>0</v>
      </c>
      <c r="P113" s="0" t="n">
        <v>0</v>
      </c>
      <c r="Q113" s="0" t="n">
        <v>0</v>
      </c>
      <c r="R113" s="0" t="inlineStr">
        <is>
          <t>Available</t>
        </is>
      </c>
      <c r="S113" s="0" t="inlineStr">
        <is>
          <t>Show</t>
        </is>
      </c>
      <c r="W113" s="0" t="inlineStr"/>
      <c r="X113" s="0" t="inlineStr"/>
      <c r="Z113" s="168" t="n"/>
      <c r="AA113" s="0" t="n">
        <v>14000</v>
      </c>
      <c r="AB113" s="0" t="n">
        <v>14000</v>
      </c>
      <c r="AC113" s="0" t="inlineStr"/>
      <c r="AG113" s="168" t="n"/>
      <c r="AI113" s="168" t="inlineStr"/>
      <c r="AK113" s="0" t="inlineStr"/>
      <c r="AM113" s="168" t="inlineStr"/>
      <c r="AO113" s="168" t="n"/>
      <c r="AP113" s="0" t="inlineStr"/>
    </row>
    <row r="114">
      <c r="A114" s="0" t="inlineStr">
        <is>
          <t>GoFood</t>
        </is>
      </c>
      <c r="B114" s="0" t="inlineStr">
        <is>
          <t>Superfood (test)</t>
        </is>
      </c>
      <c r="C114" s="0" t="inlineStr">
        <is>
          <t>F</t>
        </is>
      </c>
      <c r="D114" s="0" t="inlineStr">
        <is>
          <t>https://gofood.link/a/G828092803</t>
        </is>
      </c>
      <c r="E114" s="0" t="inlineStr">
        <is>
          <t>G828092803</t>
        </is>
      </c>
      <c r="F114" s="0" t="inlineStr">
        <is>
          <t>fea135fc-3640-4ecb-b4c8-3424e355cd8d</t>
        </is>
      </c>
      <c r="G114" s="0" t="inlineStr">
        <is>
          <t>Jus</t>
        </is>
      </c>
      <c r="H114" s="0" t="inlineStr">
        <is>
          <t>46fbb2a5-bed5-4e5b-a19f-0cb47fc202f5</t>
        </is>
      </c>
      <c r="I114" s="0" t="inlineStr">
        <is>
          <t>Jus Sirsak</t>
        </is>
      </c>
      <c r="J114" s="0" t="inlineStr"/>
      <c r="K114" s="0" t="inlineStr"/>
      <c r="L114" s="0" t="inlineStr"/>
      <c r="M114" s="0" t="inlineStr"/>
      <c r="N114" s="0" t="inlineStr"/>
      <c r="O114" s="0" t="n">
        <v>0</v>
      </c>
      <c r="P114" s="0" t="n">
        <v>0</v>
      </c>
      <c r="Q114" s="0" t="n">
        <v>0</v>
      </c>
      <c r="R114" s="0" t="inlineStr">
        <is>
          <t>Available</t>
        </is>
      </c>
      <c r="S114" s="0" t="inlineStr">
        <is>
          <t>Show</t>
        </is>
      </c>
      <c r="W114" s="0" t="inlineStr"/>
      <c r="X114" s="0" t="inlineStr"/>
      <c r="Z114" s="168" t="n"/>
      <c r="AA114" s="0" t="n">
        <v>17000</v>
      </c>
      <c r="AB114" s="0" t="n">
        <v>17000</v>
      </c>
      <c r="AC114" s="0" t="inlineStr"/>
      <c r="AG114" s="168" t="n"/>
      <c r="AI114" s="168" t="inlineStr"/>
      <c r="AK114" s="0" t="inlineStr"/>
      <c r="AM114" s="168" t="inlineStr"/>
      <c r="AO114" s="168" t="n"/>
      <c r="AP114" s="0" t="inlineStr"/>
    </row>
    <row r="115">
      <c r="A115" s="0" t="inlineStr">
        <is>
          <t>GoFood</t>
        </is>
      </c>
      <c r="B115" s="0" t="inlineStr">
        <is>
          <t>Superfood (test)</t>
        </is>
      </c>
      <c r="C115" s="0" t="inlineStr">
        <is>
          <t>F</t>
        </is>
      </c>
      <c r="D115" s="0" t="inlineStr">
        <is>
          <t>https://gofood.link/a/G828092803</t>
        </is>
      </c>
      <c r="E115" s="0" t="inlineStr">
        <is>
          <t>G828092803</t>
        </is>
      </c>
      <c r="F115" s="0" t="inlineStr">
        <is>
          <t>fea135fc-3640-4ecb-b4c8-3424e355cd8d</t>
        </is>
      </c>
      <c r="G115" s="0" t="inlineStr">
        <is>
          <t>Jus</t>
        </is>
      </c>
      <c r="H115" s="0" t="inlineStr">
        <is>
          <t>92516289-bb51-4e5c-96ce-715365b9d1fa</t>
        </is>
      </c>
      <c r="I115" s="0" t="inlineStr">
        <is>
          <t>Jus Nanas</t>
        </is>
      </c>
      <c r="J115" s="0" t="inlineStr"/>
      <c r="K115" s="0" t="inlineStr"/>
      <c r="L115" s="0" t="inlineStr"/>
      <c r="M115" s="0" t="inlineStr"/>
      <c r="N115" s="0" t="inlineStr"/>
      <c r="O115" s="0" t="n">
        <v>0</v>
      </c>
      <c r="P115" s="0" t="n">
        <v>0</v>
      </c>
      <c r="Q115" s="0" t="n">
        <v>0</v>
      </c>
      <c r="R115" s="0" t="inlineStr">
        <is>
          <t>Available</t>
        </is>
      </c>
      <c r="S115" s="0" t="inlineStr">
        <is>
          <t>Show</t>
        </is>
      </c>
      <c r="W115" s="0" t="inlineStr"/>
      <c r="X115" s="0" t="inlineStr"/>
      <c r="Z115" s="168" t="n"/>
      <c r="AA115" s="0" t="n">
        <v>14000</v>
      </c>
      <c r="AB115" s="0" t="n">
        <v>14000</v>
      </c>
      <c r="AC115" s="0" t="inlineStr"/>
      <c r="AG115" s="168" t="n"/>
      <c r="AI115" s="168" t="inlineStr"/>
      <c r="AK115" s="0" t="inlineStr"/>
      <c r="AM115" s="168" t="inlineStr"/>
      <c r="AO115" s="168" t="n"/>
      <c r="AP115" s="0" t="inlineStr"/>
    </row>
    <row r="116">
      <c r="A116" s="0" t="inlineStr">
        <is>
          <t>GoFood</t>
        </is>
      </c>
      <c r="B116" s="0" t="inlineStr">
        <is>
          <t>Superfood (test)</t>
        </is>
      </c>
      <c r="C116" s="0" t="inlineStr">
        <is>
          <t>F</t>
        </is>
      </c>
      <c r="D116" s="0" t="inlineStr">
        <is>
          <t>https://gofood.link/a/G828092803</t>
        </is>
      </c>
      <c r="E116" s="0" t="inlineStr">
        <is>
          <t>G828092803</t>
        </is>
      </c>
      <c r="F116" s="0" t="inlineStr">
        <is>
          <t>fea135fc-3640-4ecb-b4c8-3424e355cd8d</t>
        </is>
      </c>
      <c r="G116" s="0" t="inlineStr">
        <is>
          <t>Jus</t>
        </is>
      </c>
      <c r="H116" s="0" t="inlineStr">
        <is>
          <t>9ca670bd-7ac8-4040-9983-04e626255986</t>
        </is>
      </c>
      <c r="I116" s="0" t="inlineStr">
        <is>
          <t>Jus Strawberry</t>
        </is>
      </c>
      <c r="J116" s="0" t="inlineStr"/>
      <c r="K116" s="0" t="inlineStr"/>
      <c r="L116" s="0" t="inlineStr"/>
      <c r="M116" s="0" t="inlineStr"/>
      <c r="N116" s="0" t="inlineStr"/>
      <c r="O116" s="0" t="n">
        <v>0</v>
      </c>
      <c r="P116" s="0" t="n">
        <v>0</v>
      </c>
      <c r="Q116" s="0" t="n">
        <v>0</v>
      </c>
      <c r="R116" s="0" t="inlineStr">
        <is>
          <t>Available</t>
        </is>
      </c>
      <c r="S116" s="0" t="inlineStr">
        <is>
          <t>Show</t>
        </is>
      </c>
      <c r="W116" s="0" t="inlineStr"/>
      <c r="X116" s="0" t="inlineStr"/>
      <c r="Z116" s="168" t="n"/>
      <c r="AA116" s="0" t="n">
        <v>17000</v>
      </c>
      <c r="AB116" s="0" t="n">
        <v>17000</v>
      </c>
      <c r="AC116" s="0" t="inlineStr"/>
      <c r="AG116" s="168" t="n"/>
      <c r="AI116" s="168" t="inlineStr"/>
      <c r="AK116" s="0" t="inlineStr"/>
      <c r="AM116" s="168" t="inlineStr"/>
      <c r="AO116" s="168" t="n"/>
      <c r="AP116" s="0" t="inlineStr"/>
    </row>
    <row r="117">
      <c r="A117" s="0" t="inlineStr">
        <is>
          <t>GoFood</t>
        </is>
      </c>
      <c r="B117" s="0" t="inlineStr">
        <is>
          <t>Superfood (test)</t>
        </is>
      </c>
      <c r="C117" s="0" t="inlineStr">
        <is>
          <t>F</t>
        </is>
      </c>
      <c r="D117" s="0" t="inlineStr">
        <is>
          <t>https://gofood.link/a/G828092803</t>
        </is>
      </c>
      <c r="E117" s="0" t="inlineStr">
        <is>
          <t>G828092803</t>
        </is>
      </c>
      <c r="F117" s="0" t="inlineStr">
        <is>
          <t>6adacbb9-f676-4a49-928c-e7fae3096278</t>
        </is>
      </c>
      <c r="G117" s="0" t="inlineStr">
        <is>
          <t>Minuman Tradisional</t>
        </is>
      </c>
      <c r="H117" s="0" t="inlineStr">
        <is>
          <t>88bfdbc8-40ac-4b5a-ae0e-05e9a033f2d1</t>
        </is>
      </c>
      <c r="I117" s="0" t="inlineStr">
        <is>
          <t>Es Cendol</t>
        </is>
      </c>
      <c r="J117" s="0" t="inlineStr"/>
      <c r="K117" s="0" t="inlineStr"/>
      <c r="L117" s="0" t="inlineStr"/>
      <c r="M117" s="0" t="inlineStr"/>
      <c r="N117" s="0" t="inlineStr"/>
      <c r="O117" s="0" t="n">
        <v>0</v>
      </c>
      <c r="P117" s="0" t="n">
        <v>0</v>
      </c>
      <c r="Q117" s="0" t="n">
        <v>0</v>
      </c>
      <c r="R117" s="0" t="inlineStr">
        <is>
          <t>Available</t>
        </is>
      </c>
      <c r="S117" s="0" t="inlineStr">
        <is>
          <t>Show</t>
        </is>
      </c>
      <c r="W117" s="0" t="inlineStr"/>
      <c r="X117" s="0" t="inlineStr"/>
      <c r="Z117" s="168" t="n"/>
      <c r="AA117" s="0" t="n">
        <v>14000</v>
      </c>
      <c r="AB117" s="0" t="n">
        <v>14000</v>
      </c>
      <c r="AC117" s="0" t="inlineStr"/>
      <c r="AG117" s="168" t="n"/>
      <c r="AI117" s="168" t="inlineStr"/>
      <c r="AK117" s="0" t="inlineStr"/>
      <c r="AM117" s="168" t="inlineStr"/>
      <c r="AO117" s="168" t="n"/>
      <c r="AP117" s="0" t="inlineStr"/>
    </row>
    <row r="118">
      <c r="A118" s="0" t="inlineStr">
        <is>
          <t>GoFood</t>
        </is>
      </c>
      <c r="B118" s="0" t="inlineStr">
        <is>
          <t>Superfood (test)</t>
        </is>
      </c>
      <c r="C118" s="0" t="inlineStr">
        <is>
          <t>F</t>
        </is>
      </c>
      <c r="D118" s="0" t="inlineStr">
        <is>
          <t>https://gofood.link/a/G828092803</t>
        </is>
      </c>
      <c r="E118" s="0" t="inlineStr">
        <is>
          <t>G828092803</t>
        </is>
      </c>
      <c r="F118" s="0" t="inlineStr">
        <is>
          <t>6adacbb9-f676-4a49-928c-e7fae3096278</t>
        </is>
      </c>
      <c r="G118" s="0" t="inlineStr">
        <is>
          <t>Minuman Tradisional</t>
        </is>
      </c>
      <c r="H118" s="0" t="inlineStr">
        <is>
          <t>e650d36f-722f-483e-b881-3ff1e122b14f</t>
        </is>
      </c>
      <c r="I118" s="0" t="inlineStr">
        <is>
          <t>Es Dawet</t>
        </is>
      </c>
      <c r="J118" s="0" t="inlineStr"/>
      <c r="K118" s="0" t="inlineStr"/>
      <c r="L118" s="0" t="inlineStr"/>
      <c r="M118" s="0" t="inlineStr"/>
      <c r="N118" s="0" t="inlineStr"/>
      <c r="O118" s="0" t="n">
        <v>0</v>
      </c>
      <c r="P118" s="0" t="n">
        <v>0</v>
      </c>
      <c r="Q118" s="0" t="n">
        <v>0</v>
      </c>
      <c r="R118" s="0" t="inlineStr">
        <is>
          <t>Available</t>
        </is>
      </c>
      <c r="S118" s="0" t="inlineStr">
        <is>
          <t>Show</t>
        </is>
      </c>
      <c r="W118" s="0" t="inlineStr"/>
      <c r="X118" s="0" t="inlineStr"/>
      <c r="Z118" s="168" t="n"/>
      <c r="AA118" s="0" t="n">
        <v>14000</v>
      </c>
      <c r="AB118" s="0" t="n">
        <v>14000</v>
      </c>
      <c r="AC118" s="0" t="inlineStr"/>
      <c r="AG118" s="168" t="n"/>
      <c r="AI118" s="168" t="inlineStr"/>
      <c r="AK118" s="0" t="inlineStr"/>
      <c r="AM118" s="168" t="inlineStr"/>
      <c r="AO118" s="168" t="n"/>
      <c r="AP118" s="0" t="inlineStr"/>
    </row>
    <row r="119">
      <c r="A119" s="0" t="inlineStr">
        <is>
          <t>GoFood</t>
        </is>
      </c>
      <c r="B119" s="0" t="inlineStr">
        <is>
          <t>Superfood (test)</t>
        </is>
      </c>
      <c r="C119" s="0" t="inlineStr">
        <is>
          <t>F</t>
        </is>
      </c>
      <c r="D119" s="0" t="inlineStr">
        <is>
          <t>https://gofood.link/a/G828092803</t>
        </is>
      </c>
      <c r="E119" s="0" t="inlineStr">
        <is>
          <t>G828092803</t>
        </is>
      </c>
      <c r="F119" s="0" t="inlineStr">
        <is>
          <t>6adacbb9-f676-4a49-928c-e7fae3096278</t>
        </is>
      </c>
      <c r="G119" s="0" t="inlineStr">
        <is>
          <t>Minuman Tradisional</t>
        </is>
      </c>
      <c r="H119" s="0" t="inlineStr">
        <is>
          <t>10ab0281-c869-41b4-ac36-5b6861fb5dd7</t>
        </is>
      </c>
      <c r="I119" s="0" t="inlineStr">
        <is>
          <t>Wedang Jahe</t>
        </is>
      </c>
      <c r="J119" s="0" t="inlineStr"/>
      <c r="K119" s="0" t="inlineStr"/>
      <c r="L119" s="0" t="inlineStr"/>
      <c r="M119" s="0" t="inlineStr"/>
      <c r="N119" s="0" t="inlineStr"/>
      <c r="O119" s="0" t="n">
        <v>0</v>
      </c>
      <c r="P119" s="0" t="n">
        <v>0</v>
      </c>
      <c r="Q119" s="0" t="n">
        <v>0</v>
      </c>
      <c r="R119" s="0" t="inlineStr">
        <is>
          <t>Available</t>
        </is>
      </c>
      <c r="S119" s="0" t="inlineStr">
        <is>
          <t>Show</t>
        </is>
      </c>
      <c r="W119" s="0" t="inlineStr"/>
      <c r="X119" s="0" t="inlineStr"/>
      <c r="Z119" s="168" t="n"/>
      <c r="AA119" s="0" t="n">
        <v>12000</v>
      </c>
      <c r="AB119" s="0" t="n">
        <v>12000</v>
      </c>
      <c r="AC119" s="0" t="inlineStr"/>
      <c r="AG119" s="168" t="n"/>
      <c r="AI119" s="168" t="inlineStr"/>
      <c r="AK119" s="0" t="inlineStr"/>
      <c r="AM119" s="168" t="inlineStr"/>
      <c r="AO119" s="168" t="n"/>
      <c r="AP119" s="0" t="inlineStr"/>
    </row>
    <row r="120">
      <c r="A120" s="0" t="inlineStr">
        <is>
          <t>GoFood</t>
        </is>
      </c>
      <c r="B120" s="0" t="inlineStr">
        <is>
          <t>Superfood (test)</t>
        </is>
      </c>
      <c r="C120" s="0" t="inlineStr">
        <is>
          <t>F</t>
        </is>
      </c>
      <c r="D120" s="0" t="inlineStr">
        <is>
          <t>https://gofood.link/a/G828092803</t>
        </is>
      </c>
      <c r="E120" s="0" t="inlineStr">
        <is>
          <t>G828092803</t>
        </is>
      </c>
      <c r="F120" s="0" t="inlineStr">
        <is>
          <t>6adacbb9-f676-4a49-928c-e7fae3096278</t>
        </is>
      </c>
      <c r="G120" s="0" t="inlineStr">
        <is>
          <t>Minuman Tradisional</t>
        </is>
      </c>
      <c r="H120" s="0" t="inlineStr">
        <is>
          <t>267d7eed-7e8c-4b9e-8275-e9dc86821b98</t>
        </is>
      </c>
      <c r="I120" s="0" t="inlineStr">
        <is>
          <t>Bandrek</t>
        </is>
      </c>
      <c r="J120" s="0" t="inlineStr"/>
      <c r="K120" s="0" t="inlineStr"/>
      <c r="L120" s="0" t="inlineStr"/>
      <c r="M120" s="0" t="inlineStr"/>
      <c r="N120" s="0" t="inlineStr"/>
      <c r="O120" s="0" t="n">
        <v>0</v>
      </c>
      <c r="P120" s="0" t="n">
        <v>0</v>
      </c>
      <c r="Q120" s="0" t="n">
        <v>0</v>
      </c>
      <c r="R120" s="0" t="inlineStr">
        <is>
          <t>Available</t>
        </is>
      </c>
      <c r="S120" s="0" t="inlineStr">
        <is>
          <t>Show</t>
        </is>
      </c>
      <c r="W120" s="0" t="inlineStr"/>
      <c r="X120" s="0" t="inlineStr"/>
      <c r="Z120" s="168" t="n"/>
      <c r="AA120" s="0" t="n">
        <v>12000</v>
      </c>
      <c r="AB120" s="0" t="n">
        <v>12000</v>
      </c>
      <c r="AC120" s="0" t="inlineStr"/>
      <c r="AG120" s="168" t="n"/>
      <c r="AI120" s="168" t="inlineStr"/>
      <c r="AK120" s="0" t="inlineStr"/>
      <c r="AM120" s="168" t="inlineStr"/>
      <c r="AO120" s="168" t="n"/>
      <c r="AP120" s="0" t="inlineStr"/>
    </row>
    <row r="121">
      <c r="A121" s="0" t="inlineStr">
        <is>
          <t>GoFood</t>
        </is>
      </c>
      <c r="B121" s="0" t="inlineStr">
        <is>
          <t>Superfood (test)</t>
        </is>
      </c>
      <c r="C121" s="0" t="inlineStr">
        <is>
          <t>F</t>
        </is>
      </c>
      <c r="D121" s="0" t="inlineStr">
        <is>
          <t>https://gofood.link/a/G828092803</t>
        </is>
      </c>
      <c r="E121" s="0" t="inlineStr">
        <is>
          <t>G828092803</t>
        </is>
      </c>
      <c r="F121" s="0" t="inlineStr">
        <is>
          <t>6adacbb9-f676-4a49-928c-e7fae3096278</t>
        </is>
      </c>
      <c r="G121" s="0" t="inlineStr">
        <is>
          <t>Minuman Tradisional</t>
        </is>
      </c>
      <c r="H121" s="0" t="inlineStr">
        <is>
          <t>b771c27d-6faa-4186-a778-a575f1af8b74</t>
        </is>
      </c>
      <c r="I121" s="0" t="inlineStr">
        <is>
          <t>Es Doger</t>
        </is>
      </c>
      <c r="J121" s="0" t="inlineStr"/>
      <c r="K121" s="0" t="inlineStr"/>
      <c r="L121" s="0" t="inlineStr"/>
      <c r="M121" s="0" t="inlineStr"/>
      <c r="N121" s="0" t="inlineStr"/>
      <c r="O121" s="0" t="n">
        <v>0</v>
      </c>
      <c r="P121" s="0" t="n">
        <v>0</v>
      </c>
      <c r="Q121" s="0" t="n">
        <v>0</v>
      </c>
      <c r="R121" s="0" t="inlineStr">
        <is>
          <t>Available</t>
        </is>
      </c>
      <c r="S121" s="0" t="inlineStr">
        <is>
          <t>Show</t>
        </is>
      </c>
      <c r="W121" s="0" t="inlineStr"/>
      <c r="X121" s="0" t="inlineStr"/>
      <c r="Z121" s="168" t="n"/>
      <c r="AA121" s="0" t="n">
        <v>17000</v>
      </c>
      <c r="AB121" s="0" t="n">
        <v>17000</v>
      </c>
      <c r="AC121" s="0" t="inlineStr"/>
      <c r="AG121" s="168" t="n"/>
      <c r="AI121" s="168" t="inlineStr"/>
      <c r="AK121" s="0" t="inlineStr"/>
      <c r="AM121" s="168" t="inlineStr"/>
      <c r="AO121" s="168" t="n"/>
      <c r="AP121" s="0" t="inlineStr"/>
    </row>
    <row r="122">
      <c r="A122" s="0" t="inlineStr">
        <is>
          <t>GoFood</t>
        </is>
      </c>
      <c r="B122" s="0" t="inlineStr">
        <is>
          <t>Superfood (test)</t>
        </is>
      </c>
      <c r="C122" s="0" t="inlineStr">
        <is>
          <t>F</t>
        </is>
      </c>
      <c r="D122" s="0" t="inlineStr">
        <is>
          <t>https://gofood.link/a/G828092803</t>
        </is>
      </c>
      <c r="E122" s="0" t="inlineStr">
        <is>
          <t>G828092803</t>
        </is>
      </c>
      <c r="F122" s="0" t="inlineStr">
        <is>
          <t>6adacbb9-f676-4a49-928c-e7fae3096278</t>
        </is>
      </c>
      <c r="G122" s="0" t="inlineStr">
        <is>
          <t>Minuman Tradisional</t>
        </is>
      </c>
      <c r="H122" s="0" t="inlineStr">
        <is>
          <t>a162bedb-d44a-4b6b-bcfe-5f4e656e01a1</t>
        </is>
      </c>
      <c r="I122" s="0" t="inlineStr">
        <is>
          <t>Cincau Hijau</t>
        </is>
      </c>
      <c r="J122" s="0" t="inlineStr"/>
      <c r="K122" s="0" t="inlineStr"/>
      <c r="L122" s="0" t="inlineStr"/>
      <c r="M122" s="0" t="inlineStr"/>
      <c r="N122" s="0" t="inlineStr"/>
      <c r="O122" s="0" t="n">
        <v>0</v>
      </c>
      <c r="P122" s="0" t="n">
        <v>0</v>
      </c>
      <c r="Q122" s="0" t="n">
        <v>0</v>
      </c>
      <c r="R122" s="0" t="inlineStr">
        <is>
          <t>Available</t>
        </is>
      </c>
      <c r="S122" s="0" t="inlineStr">
        <is>
          <t>Show</t>
        </is>
      </c>
      <c r="W122" s="0" t="inlineStr"/>
      <c r="X122" s="0" t="inlineStr"/>
      <c r="Z122" s="168" t="n"/>
      <c r="AA122" s="0" t="n">
        <v>12000</v>
      </c>
      <c r="AB122" s="0" t="n">
        <v>12000</v>
      </c>
      <c r="AC122" s="0" t="inlineStr"/>
      <c r="AG122" s="168" t="n"/>
      <c r="AI122" s="168" t="inlineStr"/>
      <c r="AK122" s="0" t="inlineStr"/>
      <c r="AM122" s="168" t="inlineStr"/>
      <c r="AO122" s="168" t="n"/>
      <c r="AP122" s="0" t="inlineStr"/>
    </row>
    <row r="123">
      <c r="A123" s="0" t="inlineStr">
        <is>
          <t>GoFood</t>
        </is>
      </c>
      <c r="B123" s="0" t="inlineStr">
        <is>
          <t>Superfood (test)</t>
        </is>
      </c>
      <c r="C123" s="0" t="inlineStr">
        <is>
          <t>F</t>
        </is>
      </c>
      <c r="D123" s="0" t="inlineStr">
        <is>
          <t>https://gofood.link/a/G828092803</t>
        </is>
      </c>
      <c r="E123" s="0" t="inlineStr">
        <is>
          <t>G828092803</t>
        </is>
      </c>
      <c r="F123" s="0" t="inlineStr">
        <is>
          <t>85fb9aa4-9b54-47b8-b60c-940079c80ff0</t>
        </is>
      </c>
      <c r="G123" s="0" t="inlineStr">
        <is>
          <t>Nasi</t>
        </is>
      </c>
      <c r="H123" s="0" t="inlineStr">
        <is>
          <t>6295e108-1be9-41ad-b09c-cf10a291caef</t>
        </is>
      </c>
      <c r="I123" s="0" t="inlineStr">
        <is>
          <t>Nasi Goreng Ayam</t>
        </is>
      </c>
      <c r="J123" s="0" t="inlineStr"/>
      <c r="K123" s="0" t="inlineStr"/>
      <c r="L123" s="0" t="inlineStr"/>
      <c r="M123" s="0" t="inlineStr"/>
      <c r="N123" s="0" t="inlineStr"/>
      <c r="O123" s="0" t="n">
        <v>0</v>
      </c>
      <c r="P123" s="0" t="n">
        <v>0</v>
      </c>
      <c r="Q123" s="0" t="n">
        <v>0</v>
      </c>
      <c r="R123" s="0" t="inlineStr">
        <is>
          <t>Available</t>
        </is>
      </c>
      <c r="S123" s="0" t="inlineStr">
        <is>
          <t>Show</t>
        </is>
      </c>
      <c r="W123" s="0" t="inlineStr"/>
      <c r="X123" s="0" t="inlineStr"/>
      <c r="Z123" s="168" t="n"/>
      <c r="AA123" s="0" t="n">
        <v>22000</v>
      </c>
      <c r="AB123" s="0" t="n">
        <v>22000</v>
      </c>
      <c r="AC123" s="0" t="inlineStr"/>
      <c r="AG123" s="168" t="n"/>
      <c r="AI123" s="168" t="inlineStr"/>
      <c r="AK123" s="0" t="inlineStr"/>
      <c r="AM123" s="168" t="inlineStr"/>
      <c r="AO123" s="168" t="n"/>
      <c r="AP123" s="0" t="inlineStr"/>
    </row>
    <row r="124">
      <c r="A124" s="0" t="inlineStr">
        <is>
          <t>GoFood</t>
        </is>
      </c>
      <c r="B124" s="0" t="inlineStr">
        <is>
          <t>Superfood (test)</t>
        </is>
      </c>
      <c r="C124" s="0" t="inlineStr">
        <is>
          <t>F</t>
        </is>
      </c>
      <c r="D124" s="0" t="inlineStr">
        <is>
          <t>https://gofood.link/a/G828092803</t>
        </is>
      </c>
      <c r="E124" s="0" t="inlineStr">
        <is>
          <t>G828092803</t>
        </is>
      </c>
      <c r="F124" s="0" t="inlineStr">
        <is>
          <t>85fb9aa4-9b54-47b8-b60c-940079c80ff0</t>
        </is>
      </c>
      <c r="G124" s="0" t="inlineStr">
        <is>
          <t>Nasi</t>
        </is>
      </c>
      <c r="H124" s="0" t="inlineStr">
        <is>
          <t>efe8c7b9-b96b-419f-b296-0090e69a0a5f</t>
        </is>
      </c>
      <c r="I124" s="0" t="inlineStr">
        <is>
          <t>Nasi Goreng Sapi</t>
        </is>
      </c>
      <c r="J124" s="0" t="inlineStr"/>
      <c r="K124" s="0" t="inlineStr"/>
      <c r="L124" s="0" t="inlineStr"/>
      <c r="M124" s="0" t="inlineStr"/>
      <c r="N124" s="0" t="inlineStr"/>
      <c r="O124" s="0" t="n">
        <v>0</v>
      </c>
      <c r="P124" s="0" t="n">
        <v>0</v>
      </c>
      <c r="Q124" s="0" t="n">
        <v>0</v>
      </c>
      <c r="R124" s="0" t="inlineStr">
        <is>
          <t>Available</t>
        </is>
      </c>
      <c r="S124" s="0" t="inlineStr">
        <is>
          <t>Show</t>
        </is>
      </c>
      <c r="W124" s="0" t="inlineStr"/>
      <c r="X124" s="0" t="inlineStr"/>
      <c r="Z124" s="168" t="n"/>
      <c r="AA124" s="0" t="n">
        <v>24000</v>
      </c>
      <c r="AB124" s="0" t="n">
        <v>24000</v>
      </c>
      <c r="AC124" s="0" t="inlineStr"/>
      <c r="AG124" s="168" t="n"/>
      <c r="AI124" s="168" t="inlineStr"/>
      <c r="AK124" s="0" t="inlineStr"/>
      <c r="AM124" s="168" t="inlineStr"/>
      <c r="AO124" s="168" t="n"/>
      <c r="AP124" s="0" t="inlineStr"/>
    </row>
    <row r="125">
      <c r="A125" s="0" t="inlineStr">
        <is>
          <t>GoFood</t>
        </is>
      </c>
      <c r="B125" s="0" t="inlineStr">
        <is>
          <t>Superfood (test)</t>
        </is>
      </c>
      <c r="C125" s="0" t="inlineStr">
        <is>
          <t>F</t>
        </is>
      </c>
      <c r="D125" s="0" t="inlineStr">
        <is>
          <t>https://gofood.link/a/G828092803</t>
        </is>
      </c>
      <c r="E125" s="0" t="inlineStr">
        <is>
          <t>G828092803</t>
        </is>
      </c>
      <c r="F125" s="0" t="inlineStr">
        <is>
          <t>85fb9aa4-9b54-47b8-b60c-940079c80ff0</t>
        </is>
      </c>
      <c r="G125" s="0" t="inlineStr">
        <is>
          <t>Nasi</t>
        </is>
      </c>
      <c r="H125" s="0" t="inlineStr">
        <is>
          <t>8e84d494-0b38-458f-8e7d-5df022362a33</t>
        </is>
      </c>
      <c r="I125" s="0" t="inlineStr">
        <is>
          <t>Nasi Goreng Seafood</t>
        </is>
      </c>
      <c r="J125" s="0" t="inlineStr"/>
      <c r="K125" s="0" t="inlineStr"/>
      <c r="L125" s="0" t="inlineStr"/>
      <c r="M125" s="0" t="inlineStr"/>
      <c r="N125" s="0" t="inlineStr"/>
      <c r="O125" s="0" t="n">
        <v>0</v>
      </c>
      <c r="P125" s="0" t="n">
        <v>0</v>
      </c>
      <c r="Q125" s="0" t="n">
        <v>0</v>
      </c>
      <c r="R125" s="0" t="inlineStr">
        <is>
          <t>Available</t>
        </is>
      </c>
      <c r="S125" s="0" t="inlineStr">
        <is>
          <t>Show</t>
        </is>
      </c>
      <c r="W125" s="0" t="inlineStr"/>
      <c r="X125" s="0" t="inlineStr"/>
      <c r="Z125" s="168" t="n"/>
      <c r="AA125" s="0" t="n">
        <v>27000</v>
      </c>
      <c r="AB125" s="0" t="n">
        <v>27000</v>
      </c>
      <c r="AC125" s="0" t="inlineStr"/>
      <c r="AG125" s="168" t="n"/>
      <c r="AI125" s="168" t="inlineStr"/>
      <c r="AK125" s="0" t="inlineStr"/>
      <c r="AM125" s="168" t="inlineStr"/>
      <c r="AO125" s="168" t="n"/>
      <c r="AP125" s="0" t="inlineStr"/>
    </row>
    <row r="126">
      <c r="A126" s="0" t="inlineStr">
        <is>
          <t>GoFood</t>
        </is>
      </c>
      <c r="B126" s="0" t="inlineStr">
        <is>
          <t>Superfood (test)</t>
        </is>
      </c>
      <c r="C126" s="0" t="inlineStr">
        <is>
          <t>F</t>
        </is>
      </c>
      <c r="D126" s="0" t="inlineStr">
        <is>
          <t>https://gofood.link/a/G828092803</t>
        </is>
      </c>
      <c r="E126" s="0" t="inlineStr">
        <is>
          <t>G828092803</t>
        </is>
      </c>
      <c r="F126" s="0" t="inlineStr">
        <is>
          <t>85fb9aa4-9b54-47b8-b60c-940079c80ff0</t>
        </is>
      </c>
      <c r="G126" s="0" t="inlineStr">
        <is>
          <t>Nasi</t>
        </is>
      </c>
      <c r="H126" s="0" t="inlineStr">
        <is>
          <t>95c76475-191a-4dea-b9ff-f26d8ff00f65</t>
        </is>
      </c>
      <c r="I126" s="0" t="inlineStr">
        <is>
          <t>Nasi Goreng Kampung</t>
        </is>
      </c>
      <c r="J126" s="0" t="inlineStr"/>
      <c r="K126" s="0" t="inlineStr"/>
      <c r="L126" s="0" t="inlineStr"/>
      <c r="M126" s="0" t="inlineStr"/>
      <c r="N126" s="0" t="inlineStr"/>
      <c r="O126" s="0" t="n">
        <v>0</v>
      </c>
      <c r="P126" s="0" t="n">
        <v>0</v>
      </c>
      <c r="Q126" s="0" t="n">
        <v>0</v>
      </c>
      <c r="R126" s="0" t="inlineStr">
        <is>
          <t>Available</t>
        </is>
      </c>
      <c r="S126" s="0" t="inlineStr">
        <is>
          <t>Show</t>
        </is>
      </c>
      <c r="W126" s="0" t="inlineStr"/>
      <c r="X126" s="0" t="inlineStr"/>
      <c r="Z126" s="168" t="n"/>
      <c r="AA126" s="0" t="n">
        <v>20000</v>
      </c>
      <c r="AB126" s="0" t="n">
        <v>20000</v>
      </c>
      <c r="AC126" s="0" t="inlineStr"/>
      <c r="AG126" s="168" t="n"/>
      <c r="AI126" s="168" t="inlineStr"/>
      <c r="AK126" s="0" t="inlineStr"/>
      <c r="AM126" s="168" t="inlineStr"/>
      <c r="AO126" s="168" t="n"/>
      <c r="AP126" s="0" t="inlineStr"/>
    </row>
    <row r="127">
      <c r="A127" s="0" t="inlineStr">
        <is>
          <t>GoFood</t>
        </is>
      </c>
      <c r="B127" s="0" t="inlineStr">
        <is>
          <t>Superfood (test)</t>
        </is>
      </c>
      <c r="C127" s="0" t="inlineStr">
        <is>
          <t>F</t>
        </is>
      </c>
      <c r="D127" s="0" t="inlineStr">
        <is>
          <t>https://gofood.link/a/G828092803</t>
        </is>
      </c>
      <c r="E127" s="0" t="inlineStr">
        <is>
          <t>G828092803</t>
        </is>
      </c>
      <c r="F127" s="0" t="inlineStr">
        <is>
          <t>85fb9aa4-9b54-47b8-b60c-940079c80ff0</t>
        </is>
      </c>
      <c r="G127" s="0" t="inlineStr">
        <is>
          <t>Nasi</t>
        </is>
      </c>
      <c r="H127" s="0" t="inlineStr">
        <is>
          <t>c6545a50-821b-49da-b2ad-0497a46339a1</t>
        </is>
      </c>
      <c r="I127" s="0" t="inlineStr">
        <is>
          <t>Nasi Goreng Spesial</t>
        </is>
      </c>
      <c r="J127" s="0" t="inlineStr"/>
      <c r="K127" s="0" t="inlineStr"/>
      <c r="L127" s="0" t="inlineStr"/>
      <c r="M127" s="0" t="inlineStr"/>
      <c r="N127" s="0" t="inlineStr"/>
      <c r="O127" s="0" t="n">
        <v>0</v>
      </c>
      <c r="P127" s="0" t="n">
        <v>0</v>
      </c>
      <c r="Q127" s="0" t="n">
        <v>0</v>
      </c>
      <c r="R127" s="0" t="inlineStr">
        <is>
          <t>Available</t>
        </is>
      </c>
      <c r="S127" s="0" t="inlineStr">
        <is>
          <t>Show</t>
        </is>
      </c>
      <c r="W127" s="0" t="inlineStr"/>
      <c r="X127" s="0" t="inlineStr"/>
      <c r="Z127" s="168" t="n"/>
      <c r="AA127" s="0" t="n">
        <v>25000</v>
      </c>
      <c r="AB127" s="0" t="n">
        <v>25000</v>
      </c>
      <c r="AC127" s="0" t="inlineStr"/>
      <c r="AG127" s="168" t="n"/>
      <c r="AI127" s="168" t="inlineStr"/>
      <c r="AK127" s="0" t="inlineStr"/>
      <c r="AM127" s="168" t="inlineStr"/>
      <c r="AO127" s="168" t="n"/>
      <c r="AP127" s="0" t="inlineStr"/>
    </row>
    <row r="128">
      <c r="A128" s="0" t="inlineStr">
        <is>
          <t>GoFood</t>
        </is>
      </c>
      <c r="B128" s="0" t="inlineStr">
        <is>
          <t>Superfood (test)</t>
        </is>
      </c>
      <c r="C128" s="0" t="inlineStr">
        <is>
          <t>F</t>
        </is>
      </c>
      <c r="D128" s="0" t="inlineStr">
        <is>
          <t>https://gofood.link/a/G828092803</t>
        </is>
      </c>
      <c r="E128" s="0" t="inlineStr">
        <is>
          <t>G828092803</t>
        </is>
      </c>
      <c r="F128" s="0" t="inlineStr">
        <is>
          <t>85fb9aa4-9b54-47b8-b60c-940079c80ff0</t>
        </is>
      </c>
      <c r="G128" s="0" t="inlineStr">
        <is>
          <t>Nasi</t>
        </is>
      </c>
      <c r="H128" s="0" t="inlineStr">
        <is>
          <t>a38e6d85-827d-4181-861f-1e6e21fc9da9</t>
        </is>
      </c>
      <c r="I128" s="0" t="inlineStr">
        <is>
          <t>Nasi Putih</t>
        </is>
      </c>
      <c r="J128" s="0" t="inlineStr"/>
      <c r="K128" s="0" t="inlineStr"/>
      <c r="L128" s="0" t="inlineStr"/>
      <c r="M128" s="0" t="inlineStr"/>
      <c r="N128" s="0" t="inlineStr"/>
      <c r="O128" s="0" t="n">
        <v>0</v>
      </c>
      <c r="P128" s="0" t="n">
        <v>0</v>
      </c>
      <c r="Q128" s="0" t="n">
        <v>0</v>
      </c>
      <c r="R128" s="0" t="inlineStr">
        <is>
          <t>Available</t>
        </is>
      </c>
      <c r="S128" s="0" t="inlineStr">
        <is>
          <t>Show</t>
        </is>
      </c>
      <c r="W128" s="0" t="inlineStr"/>
      <c r="X128" s="0" t="inlineStr"/>
      <c r="Z128" s="168" t="n"/>
      <c r="AA128" s="0" t="n">
        <v>7000</v>
      </c>
      <c r="AB128" s="0" t="n">
        <v>7000</v>
      </c>
      <c r="AC128" s="0" t="inlineStr"/>
      <c r="AG128" s="168" t="n"/>
      <c r="AI128" s="168" t="inlineStr"/>
      <c r="AK128" s="0" t="inlineStr"/>
      <c r="AM128" s="168" t="inlineStr"/>
      <c r="AO128" s="168" t="n"/>
      <c r="AP128" s="0" t="inlineStr"/>
    </row>
    <row r="129">
      <c r="A129" s="0" t="inlineStr">
        <is>
          <t>GoFood</t>
        </is>
      </c>
      <c r="B129" s="0" t="inlineStr">
        <is>
          <t>Superfood (test)</t>
        </is>
      </c>
      <c r="C129" s="0" t="inlineStr">
        <is>
          <t>F</t>
        </is>
      </c>
      <c r="D129" s="0" t="inlineStr">
        <is>
          <t>https://gofood.link/a/G828092803</t>
        </is>
      </c>
      <c r="E129" s="0" t="inlineStr">
        <is>
          <t>G828092803</t>
        </is>
      </c>
      <c r="F129" s="0" t="inlineStr">
        <is>
          <t>85fb9aa4-9b54-47b8-b60c-940079c80ff0</t>
        </is>
      </c>
      <c r="G129" s="0" t="inlineStr">
        <is>
          <t>Nasi</t>
        </is>
      </c>
      <c r="H129" s="0" t="inlineStr">
        <is>
          <t>2962d4b7-8aba-4740-b2c0-eccfbdc3e223</t>
        </is>
      </c>
      <c r="I129" s="0" t="inlineStr">
        <is>
          <t>Nasi Uduk</t>
        </is>
      </c>
      <c r="J129" s="0" t="inlineStr"/>
      <c r="K129" s="0" t="inlineStr"/>
      <c r="L129" s="0" t="inlineStr"/>
      <c r="M129" s="0" t="inlineStr"/>
      <c r="N129" s="0" t="inlineStr"/>
      <c r="O129" s="0" t="n">
        <v>0</v>
      </c>
      <c r="P129" s="0" t="n">
        <v>0</v>
      </c>
      <c r="Q129" s="0" t="n">
        <v>0</v>
      </c>
      <c r="R129" s="0" t="inlineStr">
        <is>
          <t>Available</t>
        </is>
      </c>
      <c r="S129" s="0" t="inlineStr">
        <is>
          <t>Show</t>
        </is>
      </c>
      <c r="W129" s="0" t="inlineStr"/>
      <c r="X129" s="0" t="inlineStr"/>
      <c r="Z129" s="168" t="n"/>
      <c r="AA129" s="0" t="n">
        <v>17000</v>
      </c>
      <c r="AB129" s="0" t="n">
        <v>17000</v>
      </c>
      <c r="AC129" s="0" t="inlineStr"/>
      <c r="AG129" s="168" t="n"/>
      <c r="AI129" s="168" t="inlineStr"/>
      <c r="AK129" s="0" t="inlineStr"/>
      <c r="AM129" s="168" t="inlineStr"/>
      <c r="AO129" s="168" t="n"/>
      <c r="AP129" s="0" t="inlineStr"/>
    </row>
    <row r="130">
      <c r="A130" s="0" t="inlineStr">
        <is>
          <t>GoFood</t>
        </is>
      </c>
      <c r="B130" s="0" t="inlineStr">
        <is>
          <t>Superfood (test)</t>
        </is>
      </c>
      <c r="C130" s="0" t="inlineStr">
        <is>
          <t>F</t>
        </is>
      </c>
      <c r="D130" s="0" t="inlineStr">
        <is>
          <t>https://gofood.link/a/G828092803</t>
        </is>
      </c>
      <c r="E130" s="0" t="inlineStr">
        <is>
          <t>G828092803</t>
        </is>
      </c>
      <c r="F130" s="0" t="inlineStr">
        <is>
          <t>85fb9aa4-9b54-47b8-b60c-940079c80ff0</t>
        </is>
      </c>
      <c r="G130" s="0" t="inlineStr">
        <is>
          <t>Nasi</t>
        </is>
      </c>
      <c r="H130" s="0" t="inlineStr">
        <is>
          <t>7852eab9-f5bf-457a-9db8-160b447fedd9</t>
        </is>
      </c>
      <c r="I130" s="0" t="inlineStr">
        <is>
          <t>Nasi Kuning</t>
        </is>
      </c>
      <c r="J130" s="0" t="inlineStr"/>
      <c r="K130" s="0" t="inlineStr"/>
      <c r="L130" s="0" t="inlineStr"/>
      <c r="M130" s="0" t="inlineStr"/>
      <c r="N130" s="0" t="inlineStr"/>
      <c r="O130" s="0" t="n">
        <v>0</v>
      </c>
      <c r="P130" s="0" t="n">
        <v>0</v>
      </c>
      <c r="Q130" s="0" t="n">
        <v>0</v>
      </c>
      <c r="R130" s="0" t="inlineStr">
        <is>
          <t>Available</t>
        </is>
      </c>
      <c r="S130" s="0" t="inlineStr">
        <is>
          <t>Show</t>
        </is>
      </c>
      <c r="W130" s="0" t="inlineStr"/>
      <c r="X130" s="0" t="inlineStr"/>
      <c r="Z130" s="168" t="n"/>
      <c r="AA130" s="0" t="n">
        <v>17000</v>
      </c>
      <c r="AB130" s="0" t="n">
        <v>17000</v>
      </c>
      <c r="AC130" s="0" t="inlineStr"/>
      <c r="AG130" s="168" t="n"/>
      <c r="AI130" s="168" t="inlineStr"/>
      <c r="AK130" s="0" t="inlineStr"/>
      <c r="AM130" s="168" t="inlineStr"/>
      <c r="AO130" s="168" t="n"/>
      <c r="AP130" s="0" t="inlineStr"/>
    </row>
    <row r="131">
      <c r="A131" s="0" t="inlineStr">
        <is>
          <t>GoFood</t>
        </is>
      </c>
      <c r="B131" s="0" t="inlineStr">
        <is>
          <t>Superfood (test)</t>
        </is>
      </c>
      <c r="C131" s="0" t="inlineStr">
        <is>
          <t>F</t>
        </is>
      </c>
      <c r="D131" s="0" t="inlineStr">
        <is>
          <t>https://gofood.link/a/G828092803</t>
        </is>
      </c>
      <c r="E131" s="0" t="inlineStr">
        <is>
          <t>G828092803</t>
        </is>
      </c>
      <c r="F131" s="0" t="inlineStr">
        <is>
          <t>85fb9aa4-9b54-47b8-b60c-940079c80ff0</t>
        </is>
      </c>
      <c r="G131" s="0" t="inlineStr">
        <is>
          <t>Nasi</t>
        </is>
      </c>
      <c r="H131" s="0" t="inlineStr">
        <is>
          <t>de6445d0-71bd-4630-bf12-df8581719392</t>
        </is>
      </c>
      <c r="I131" s="0" t="inlineStr">
        <is>
          <t>Nasi Liwet</t>
        </is>
      </c>
      <c r="J131" s="0" t="inlineStr"/>
      <c r="K131" s="0" t="inlineStr"/>
      <c r="L131" s="0" t="inlineStr"/>
      <c r="M131" s="0" t="inlineStr"/>
      <c r="N131" s="0" t="inlineStr"/>
      <c r="O131" s="0" t="n">
        <v>0</v>
      </c>
      <c r="P131" s="0" t="n">
        <v>0</v>
      </c>
      <c r="Q131" s="0" t="n">
        <v>0</v>
      </c>
      <c r="R131" s="0" t="inlineStr">
        <is>
          <t>Available</t>
        </is>
      </c>
      <c r="S131" s="0" t="inlineStr">
        <is>
          <t>Show</t>
        </is>
      </c>
      <c r="W131" s="0" t="inlineStr"/>
      <c r="X131" s="0" t="inlineStr"/>
      <c r="Z131" s="168" t="n"/>
      <c r="AA131" s="0" t="n">
        <v>20000</v>
      </c>
      <c r="AB131" s="0" t="n">
        <v>20000</v>
      </c>
      <c r="AC131" s="0" t="inlineStr"/>
      <c r="AG131" s="168" t="n"/>
      <c r="AI131" s="168" t="inlineStr"/>
      <c r="AK131" s="0" t="inlineStr"/>
      <c r="AM131" s="168" t="inlineStr"/>
      <c r="AO131" s="168" t="n"/>
      <c r="AP131" s="0" t="inlineStr"/>
    </row>
    <row r="132">
      <c r="A132" s="0" t="inlineStr">
        <is>
          <t>GoFood</t>
        </is>
      </c>
      <c r="B132" s="0" t="inlineStr">
        <is>
          <t>Superfood (test)</t>
        </is>
      </c>
      <c r="C132" s="0" t="inlineStr">
        <is>
          <t>F</t>
        </is>
      </c>
      <c r="D132" s="0" t="inlineStr">
        <is>
          <t>https://gofood.link/a/G828092803</t>
        </is>
      </c>
      <c r="E132" s="0" t="inlineStr">
        <is>
          <t>G828092803</t>
        </is>
      </c>
      <c r="F132" s="0" t="inlineStr">
        <is>
          <t>85fb9aa4-9b54-47b8-b60c-940079c80ff0</t>
        </is>
      </c>
      <c r="G132" s="0" t="inlineStr">
        <is>
          <t>Nasi</t>
        </is>
      </c>
      <c r="H132" s="0" t="inlineStr">
        <is>
          <t>c0c7651c-486b-4924-bb90-7c0cbe0e2978</t>
        </is>
      </c>
      <c r="I132" s="0" t="inlineStr">
        <is>
          <t>Nasi Campur</t>
        </is>
      </c>
      <c r="J132" s="0" t="inlineStr"/>
      <c r="K132" s="0" t="inlineStr"/>
      <c r="L132" s="0" t="inlineStr"/>
      <c r="M132" s="0" t="inlineStr"/>
      <c r="N132" s="0" t="inlineStr"/>
      <c r="O132" s="0" t="n">
        <v>0</v>
      </c>
      <c r="P132" s="0" t="n">
        <v>0</v>
      </c>
      <c r="Q132" s="0" t="n">
        <v>0</v>
      </c>
      <c r="R132" s="0" t="inlineStr">
        <is>
          <t>Available</t>
        </is>
      </c>
      <c r="S132" s="0" t="inlineStr">
        <is>
          <t>Show</t>
        </is>
      </c>
      <c r="W132" s="0" t="inlineStr"/>
      <c r="X132" s="0" t="inlineStr"/>
      <c r="Z132" s="168" t="n"/>
      <c r="AA132" s="0" t="n">
        <v>24000</v>
      </c>
      <c r="AB132" s="0" t="n">
        <v>24000</v>
      </c>
      <c r="AC132" s="0" t="inlineStr"/>
      <c r="AG132" s="168" t="n"/>
      <c r="AI132" s="168" t="inlineStr"/>
      <c r="AK132" s="0" t="inlineStr"/>
      <c r="AM132" s="168" t="inlineStr"/>
      <c r="AO132" s="168" t="n"/>
      <c r="AP132" s="0" t="inlineStr"/>
    </row>
    <row r="133">
      <c r="A133" s="0" t="inlineStr">
        <is>
          <t>GoFood</t>
        </is>
      </c>
      <c r="B133" s="0" t="inlineStr">
        <is>
          <t>Superfood (test)</t>
        </is>
      </c>
      <c r="C133" s="0" t="inlineStr">
        <is>
          <t>F</t>
        </is>
      </c>
      <c r="D133" s="0" t="inlineStr">
        <is>
          <t>https://gofood.link/a/G828092803</t>
        </is>
      </c>
      <c r="E133" s="0" t="inlineStr">
        <is>
          <t>G828092803</t>
        </is>
      </c>
      <c r="F133" s="0" t="inlineStr">
        <is>
          <t>85fb9aa4-9b54-47b8-b60c-940079c80ff0</t>
        </is>
      </c>
      <c r="G133" s="0" t="inlineStr">
        <is>
          <t>Nasi</t>
        </is>
      </c>
      <c r="H133" s="0" t="inlineStr">
        <is>
          <t>b68e4909-863d-4366-8440-62f7078f7f02</t>
        </is>
      </c>
      <c r="I133" s="0" t="inlineStr">
        <is>
          <t>Nasi Rawon</t>
        </is>
      </c>
      <c r="J133" s="0" t="inlineStr"/>
      <c r="K133" s="0" t="inlineStr"/>
      <c r="L133" s="0" t="inlineStr"/>
      <c r="M133" s="0" t="inlineStr"/>
      <c r="N133" s="0" t="inlineStr"/>
      <c r="O133" s="0" t="n">
        <v>0</v>
      </c>
      <c r="P133" s="0" t="n">
        <v>0</v>
      </c>
      <c r="Q133" s="0" t="n">
        <v>0</v>
      </c>
      <c r="R133" s="0" t="inlineStr">
        <is>
          <t>Available</t>
        </is>
      </c>
      <c r="S133" s="0" t="inlineStr">
        <is>
          <t>Show</t>
        </is>
      </c>
      <c r="W133" s="0" t="inlineStr"/>
      <c r="X133" s="0" t="inlineStr"/>
      <c r="Z133" s="168" t="n"/>
      <c r="AA133" s="0" t="n">
        <v>27000</v>
      </c>
      <c r="AB133" s="0" t="n">
        <v>27000</v>
      </c>
      <c r="AC133" s="0" t="inlineStr"/>
      <c r="AG133" s="168" t="n"/>
      <c r="AI133" s="168" t="inlineStr"/>
      <c r="AK133" s="0" t="inlineStr"/>
      <c r="AM133" s="168" t="inlineStr"/>
      <c r="AO133" s="168" t="n"/>
      <c r="AP133" s="0" t="inlineStr"/>
    </row>
    <row r="134">
      <c r="A134" s="0" t="inlineStr">
        <is>
          <t>GoFood</t>
        </is>
      </c>
      <c r="B134" s="0" t="inlineStr">
        <is>
          <t>Superfood (test)</t>
        </is>
      </c>
      <c r="C134" s="0" t="inlineStr">
        <is>
          <t>F</t>
        </is>
      </c>
      <c r="D134" s="0" t="inlineStr">
        <is>
          <t>https://gofood.link/a/G828092803</t>
        </is>
      </c>
      <c r="E134" s="0" t="inlineStr">
        <is>
          <t>G828092803</t>
        </is>
      </c>
      <c r="F134" s="0" t="inlineStr">
        <is>
          <t>85fb9aa4-9b54-47b8-b60c-940079c80ff0</t>
        </is>
      </c>
      <c r="G134" s="0" t="inlineStr">
        <is>
          <t>Nasi</t>
        </is>
      </c>
      <c r="H134" s="0" t="inlineStr">
        <is>
          <t>0e45dc62-108f-42f4-be0d-a0bef7abde88</t>
        </is>
      </c>
      <c r="I134" s="0" t="inlineStr">
        <is>
          <t>Nasi Rendang</t>
        </is>
      </c>
      <c r="J134" s="0" t="inlineStr"/>
      <c r="K134" s="0" t="inlineStr"/>
      <c r="L134" s="0" t="inlineStr"/>
      <c r="M134" s="0" t="inlineStr"/>
      <c r="N134" s="0" t="inlineStr"/>
      <c r="O134" s="0" t="n">
        <v>0</v>
      </c>
      <c r="P134" s="0" t="n">
        <v>0</v>
      </c>
      <c r="Q134" s="0" t="n">
        <v>0</v>
      </c>
      <c r="R134" s="0" t="inlineStr">
        <is>
          <t>Available</t>
        </is>
      </c>
      <c r="S134" s="0" t="inlineStr">
        <is>
          <t>Show</t>
        </is>
      </c>
      <c r="W134" s="0" t="inlineStr"/>
      <c r="X134" s="0" t="inlineStr"/>
      <c r="Z134" s="168" t="n"/>
      <c r="AA134" s="0" t="n">
        <v>30000</v>
      </c>
      <c r="AB134" s="0" t="n">
        <v>30000</v>
      </c>
      <c r="AC134" s="0" t="inlineStr"/>
      <c r="AG134" s="168" t="n"/>
      <c r="AI134" s="168" t="inlineStr"/>
      <c r="AK134" s="0" t="inlineStr"/>
      <c r="AM134" s="168" t="inlineStr"/>
      <c r="AO134" s="168" t="n"/>
      <c r="AP134" s="0" t="inlineStr"/>
    </row>
    <row r="135">
      <c r="A135" s="0" t="inlineStr">
        <is>
          <t>GoFood</t>
        </is>
      </c>
      <c r="B135" s="0" t="inlineStr">
        <is>
          <t>Superfood (test)</t>
        </is>
      </c>
      <c r="C135" s="0" t="inlineStr">
        <is>
          <t>F</t>
        </is>
      </c>
      <c r="D135" s="0" t="inlineStr">
        <is>
          <t>https://gofood.link/a/G828092803</t>
        </is>
      </c>
      <c r="E135" s="0" t="inlineStr">
        <is>
          <t>G828092803</t>
        </is>
      </c>
      <c r="F135" s="0" t="inlineStr">
        <is>
          <t>85fb9aa4-9b54-47b8-b60c-940079c80ff0</t>
        </is>
      </c>
      <c r="G135" s="0" t="inlineStr">
        <is>
          <t>Nasi</t>
        </is>
      </c>
      <c r="H135" s="0" t="inlineStr">
        <is>
          <t>1f4f8562-6ebf-4426-8dfd-73f6d6e9fae2</t>
        </is>
      </c>
      <c r="I135" s="0" t="inlineStr">
        <is>
          <t>Nasi Ayam Geprek</t>
        </is>
      </c>
      <c r="J135" s="0" t="inlineStr"/>
      <c r="K135" s="0" t="inlineStr"/>
      <c r="L135" s="0" t="inlineStr"/>
      <c r="M135" s="0" t="inlineStr"/>
      <c r="N135" s="0" t="inlineStr"/>
      <c r="O135" s="0" t="n">
        <v>0</v>
      </c>
      <c r="P135" s="0" t="n">
        <v>0</v>
      </c>
      <c r="Q135" s="0" t="n">
        <v>0</v>
      </c>
      <c r="R135" s="0" t="inlineStr">
        <is>
          <t>Available</t>
        </is>
      </c>
      <c r="S135" s="0" t="inlineStr">
        <is>
          <t>Show</t>
        </is>
      </c>
      <c r="W135" s="0" t="inlineStr"/>
      <c r="X135" s="0" t="inlineStr"/>
      <c r="Z135" s="168" t="n"/>
      <c r="AA135" s="0" t="n">
        <v>22000</v>
      </c>
      <c r="AB135" s="0" t="n">
        <v>22000</v>
      </c>
      <c r="AC135" s="0" t="inlineStr"/>
      <c r="AG135" s="168" t="n"/>
      <c r="AI135" s="168" t="inlineStr"/>
      <c r="AK135" s="0" t="inlineStr"/>
      <c r="AM135" s="168" t="inlineStr"/>
      <c r="AO135" s="168" t="n"/>
      <c r="AP135" s="0" t="inlineStr"/>
    </row>
    <row r="136">
      <c r="A136" s="0" t="inlineStr">
        <is>
          <t>GoFood</t>
        </is>
      </c>
      <c r="B136" s="0" t="inlineStr">
        <is>
          <t>Superfood (test)</t>
        </is>
      </c>
      <c r="C136" s="0" t="inlineStr">
        <is>
          <t>F</t>
        </is>
      </c>
      <c r="D136" s="0" t="inlineStr">
        <is>
          <t>https://gofood.link/a/G828092803</t>
        </is>
      </c>
      <c r="E136" s="0" t="inlineStr">
        <is>
          <t>G828092803</t>
        </is>
      </c>
      <c r="F136" s="0" t="inlineStr">
        <is>
          <t>85fb9aa4-9b54-47b8-b60c-940079c80ff0</t>
        </is>
      </c>
      <c r="G136" s="0" t="inlineStr">
        <is>
          <t>Nasi</t>
        </is>
      </c>
      <c r="H136" s="0" t="inlineStr">
        <is>
          <t>c588e050-b7b0-4981-99fe-4f0a498ac583</t>
        </is>
      </c>
      <c r="I136" s="0" t="inlineStr">
        <is>
          <t>Nasi Ayam Bakar</t>
        </is>
      </c>
      <c r="J136" s="0" t="inlineStr"/>
      <c r="K136" s="0" t="inlineStr"/>
      <c r="L136" s="0" t="inlineStr"/>
      <c r="M136" s="0" t="inlineStr"/>
      <c r="N136" s="0" t="inlineStr"/>
      <c r="O136" s="0" t="n">
        <v>0</v>
      </c>
      <c r="P136" s="0" t="n">
        <v>0</v>
      </c>
      <c r="Q136" s="0" t="n">
        <v>0</v>
      </c>
      <c r="R136" s="0" t="inlineStr">
        <is>
          <t>Available</t>
        </is>
      </c>
      <c r="S136" s="0" t="inlineStr">
        <is>
          <t>Show</t>
        </is>
      </c>
      <c r="W136" s="0" t="inlineStr"/>
      <c r="X136" s="0" t="inlineStr"/>
      <c r="Z136" s="168" t="n"/>
      <c r="AA136" s="0" t="n">
        <v>24000</v>
      </c>
      <c r="AB136" s="0" t="n">
        <v>24000</v>
      </c>
      <c r="AC136" s="0" t="inlineStr"/>
      <c r="AG136" s="168" t="n"/>
      <c r="AI136" s="168" t="inlineStr"/>
      <c r="AK136" s="0" t="inlineStr"/>
      <c r="AM136" s="168" t="inlineStr"/>
      <c r="AO136" s="168" t="n"/>
      <c r="AP136" s="0" t="inlineStr"/>
    </row>
    <row r="137">
      <c r="A137" s="0" t="inlineStr">
        <is>
          <t>GoFood</t>
        </is>
      </c>
      <c r="B137" s="0" t="inlineStr">
        <is>
          <t>Superfood (test)</t>
        </is>
      </c>
      <c r="C137" s="0" t="inlineStr">
        <is>
          <t>F</t>
        </is>
      </c>
      <c r="D137" s="0" t="inlineStr">
        <is>
          <t>https://gofood.link/a/G828092803</t>
        </is>
      </c>
      <c r="E137" s="0" t="inlineStr">
        <is>
          <t>G828092803</t>
        </is>
      </c>
      <c r="F137" s="0" t="inlineStr">
        <is>
          <t>85fb9aa4-9b54-47b8-b60c-940079c80ff0</t>
        </is>
      </c>
      <c r="G137" s="0" t="inlineStr">
        <is>
          <t>Nasi</t>
        </is>
      </c>
      <c r="H137" s="0" t="inlineStr">
        <is>
          <t>51d3f746-44be-446c-8338-363e3c6055ed</t>
        </is>
      </c>
      <c r="I137" s="0" t="inlineStr">
        <is>
          <t>Nasi Ikan Bakar</t>
        </is>
      </c>
      <c r="J137" s="0" t="inlineStr"/>
      <c r="K137" s="0" t="inlineStr"/>
      <c r="L137" s="0" t="inlineStr"/>
      <c r="M137" s="0" t="inlineStr"/>
      <c r="N137" s="0" t="inlineStr"/>
      <c r="O137" s="0" t="n">
        <v>0</v>
      </c>
      <c r="P137" s="0" t="n">
        <v>0</v>
      </c>
      <c r="Q137" s="0" t="n">
        <v>0</v>
      </c>
      <c r="R137" s="0" t="inlineStr">
        <is>
          <t>Available</t>
        </is>
      </c>
      <c r="S137" s="0" t="inlineStr">
        <is>
          <t>Show</t>
        </is>
      </c>
      <c r="W137" s="0" t="inlineStr"/>
      <c r="X137" s="0" t="inlineStr"/>
      <c r="Z137" s="168" t="n"/>
      <c r="AA137" s="0" t="n">
        <v>27000</v>
      </c>
      <c r="AB137" s="0" t="n">
        <v>27000</v>
      </c>
      <c r="AC137" s="0" t="inlineStr"/>
      <c r="AG137" s="168" t="n"/>
      <c r="AI137" s="168" t="inlineStr"/>
      <c r="AK137" s="0" t="inlineStr"/>
      <c r="AM137" s="168" t="inlineStr"/>
      <c r="AO137" s="168" t="n"/>
      <c r="AP137" s="0" t="inlineStr"/>
    </row>
    <row r="138">
      <c r="A138" s="0" t="inlineStr">
        <is>
          <t>GoFood</t>
        </is>
      </c>
      <c r="B138" s="0" t="inlineStr">
        <is>
          <t>Superfood (test)</t>
        </is>
      </c>
      <c r="C138" s="0" t="inlineStr">
        <is>
          <t>F</t>
        </is>
      </c>
      <c r="D138" s="0" t="inlineStr">
        <is>
          <t>https://gofood.link/a/G828092803</t>
        </is>
      </c>
      <c r="E138" s="0" t="inlineStr">
        <is>
          <t>G828092803</t>
        </is>
      </c>
      <c r="F138" s="0" t="inlineStr">
        <is>
          <t>f73c554d-b791-428b-991f-bf9026d5548c</t>
        </is>
      </c>
      <c r="G138" s="0" t="inlineStr">
        <is>
          <t>Martabak</t>
        </is>
      </c>
      <c r="H138" s="0" t="inlineStr">
        <is>
          <t>be9447af-8052-4eb1-a40a-6666455cf56c</t>
        </is>
      </c>
      <c r="I138" s="0" t="inlineStr">
        <is>
          <t>Martabak Manis</t>
        </is>
      </c>
      <c r="J138" s="0" t="inlineStr"/>
      <c r="K138" s="0" t="inlineStr"/>
      <c r="L138" s="0" t="inlineStr"/>
      <c r="M138" s="0" t="inlineStr"/>
      <c r="N138" s="0" t="inlineStr"/>
      <c r="O138" s="0" t="n">
        <v>0</v>
      </c>
      <c r="P138" s="0" t="n">
        <v>0</v>
      </c>
      <c r="Q138" s="0" t="n">
        <v>0</v>
      </c>
      <c r="R138" s="0" t="inlineStr">
        <is>
          <t>Available</t>
        </is>
      </c>
      <c r="S138" s="0" t="inlineStr">
        <is>
          <t>Show</t>
        </is>
      </c>
      <c r="W138" s="0" t="inlineStr"/>
      <c r="X138" s="0" t="inlineStr"/>
      <c r="Z138" s="168" t="n"/>
      <c r="AA138" s="0" t="n">
        <v>47000</v>
      </c>
      <c r="AB138" s="0" t="n">
        <v>47000</v>
      </c>
      <c r="AC138" s="0" t="inlineStr"/>
      <c r="AG138" s="168" t="n"/>
      <c r="AI138" s="168" t="inlineStr"/>
      <c r="AK138" s="0" t="inlineStr"/>
      <c r="AM138" s="168" t="inlineStr"/>
      <c r="AO138" s="168" t="n"/>
      <c r="AP138" s="0" t="inlineStr"/>
    </row>
    <row r="139">
      <c r="A139" s="0" t="inlineStr">
        <is>
          <t>GoFood</t>
        </is>
      </c>
      <c r="B139" s="0" t="inlineStr">
        <is>
          <t>Superfood (test)</t>
        </is>
      </c>
      <c r="C139" s="0" t="inlineStr">
        <is>
          <t>F</t>
        </is>
      </c>
      <c r="D139" s="0" t="inlineStr">
        <is>
          <t>https://gofood.link/a/G828092803</t>
        </is>
      </c>
      <c r="E139" s="0" t="inlineStr">
        <is>
          <t>G828092803</t>
        </is>
      </c>
      <c r="F139" s="0" t="inlineStr">
        <is>
          <t>f73c554d-b791-428b-991f-bf9026d5548c</t>
        </is>
      </c>
      <c r="G139" s="0" t="inlineStr">
        <is>
          <t>Martabak</t>
        </is>
      </c>
      <c r="H139" s="0" t="inlineStr">
        <is>
          <t>9a1f048d-0fcd-4100-87b2-01d08494e1e1</t>
        </is>
      </c>
      <c r="I139" s="0" t="inlineStr">
        <is>
          <t>Martabak Telur</t>
        </is>
      </c>
      <c r="J139" s="0" t="inlineStr"/>
      <c r="K139" s="0" t="inlineStr"/>
      <c r="L139" s="0" t="inlineStr"/>
      <c r="M139" s="0" t="inlineStr"/>
      <c r="N139" s="0" t="inlineStr"/>
      <c r="O139" s="0" t="n">
        <v>0</v>
      </c>
      <c r="P139" s="0" t="n">
        <v>0</v>
      </c>
      <c r="Q139" s="0" t="n">
        <v>0</v>
      </c>
      <c r="R139" s="0" t="inlineStr">
        <is>
          <t>Available</t>
        </is>
      </c>
      <c r="S139" s="0" t="inlineStr">
        <is>
          <t>Show</t>
        </is>
      </c>
      <c r="W139" s="0" t="inlineStr"/>
      <c r="X139" s="0" t="inlineStr"/>
      <c r="Z139" s="168" t="n"/>
      <c r="AA139" s="0" t="n">
        <v>37000</v>
      </c>
      <c r="AB139" s="0" t="n">
        <v>37000</v>
      </c>
      <c r="AC139" s="0" t="inlineStr"/>
      <c r="AG139" s="168" t="n"/>
      <c r="AI139" s="168" t="inlineStr"/>
      <c r="AK139" s="0" t="inlineStr"/>
      <c r="AM139" s="168" t="inlineStr"/>
      <c r="AO139" s="168" t="n"/>
      <c r="AP139" s="0" t="inlineStr"/>
    </row>
    <row r="140">
      <c r="A140" s="0" t="inlineStr">
        <is>
          <t>GoFood</t>
        </is>
      </c>
      <c r="B140" s="0" t="inlineStr">
        <is>
          <t>Superfood (test)</t>
        </is>
      </c>
      <c r="C140" s="0" t="inlineStr">
        <is>
          <t>F</t>
        </is>
      </c>
      <c r="D140" s="0" t="inlineStr">
        <is>
          <t>https://gofood.link/a/G828092803</t>
        </is>
      </c>
      <c r="E140" s="0" t="inlineStr">
        <is>
          <t>G828092803</t>
        </is>
      </c>
      <c r="F140" s="0" t="inlineStr">
        <is>
          <t>f73c554d-b791-428b-991f-bf9026d5548c</t>
        </is>
      </c>
      <c r="G140" s="0" t="inlineStr">
        <is>
          <t>Martabak</t>
        </is>
      </c>
      <c r="H140" s="0" t="inlineStr">
        <is>
          <t>b3ececdf-15d0-4439-a98b-2a0c5bc78ca3</t>
        </is>
      </c>
      <c r="I140" s="0" t="inlineStr">
        <is>
          <t>Martabak Mini</t>
        </is>
      </c>
      <c r="J140" s="0" t="inlineStr"/>
      <c r="K140" s="0" t="inlineStr"/>
      <c r="L140" s="0" t="inlineStr"/>
      <c r="M140" s="0" t="inlineStr"/>
      <c r="N140" s="0" t="inlineStr"/>
      <c r="O140" s="0" t="n">
        <v>0</v>
      </c>
      <c r="P140" s="0" t="n">
        <v>0</v>
      </c>
      <c r="Q140" s="0" t="n">
        <v>0</v>
      </c>
      <c r="R140" s="0" t="inlineStr">
        <is>
          <t>Available</t>
        </is>
      </c>
      <c r="S140" s="0" t="inlineStr">
        <is>
          <t>Show</t>
        </is>
      </c>
      <c r="W140" s="0" t="inlineStr"/>
      <c r="X140" s="0" t="inlineStr"/>
      <c r="Z140" s="168" t="n"/>
      <c r="AA140" s="0" t="n">
        <v>22000</v>
      </c>
      <c r="AB140" s="0" t="n">
        <v>22000</v>
      </c>
      <c r="AC140" s="0" t="inlineStr"/>
      <c r="AG140" s="168" t="n"/>
      <c r="AI140" s="168" t="inlineStr"/>
      <c r="AK140" s="0" t="inlineStr"/>
      <c r="AM140" s="168" t="inlineStr"/>
      <c r="AO140" s="168" t="n"/>
      <c r="AP140" s="0" t="inlineStr"/>
    </row>
    <row r="141">
      <c r="A141" s="0" t="inlineStr">
        <is>
          <t>GoFood</t>
        </is>
      </c>
      <c r="B141" s="0" t="inlineStr">
        <is>
          <t>Superfood (test)</t>
        </is>
      </c>
      <c r="C141" s="0" t="inlineStr">
        <is>
          <t>F</t>
        </is>
      </c>
      <c r="D141" s="0" t="inlineStr">
        <is>
          <t>https://gofood.link/a/G828092803</t>
        </is>
      </c>
      <c r="E141" s="0" t="inlineStr">
        <is>
          <t>G828092803</t>
        </is>
      </c>
      <c r="F141" s="0" t="inlineStr">
        <is>
          <t>f73c554d-b791-428b-991f-bf9026d5548c</t>
        </is>
      </c>
      <c r="G141" s="0" t="inlineStr">
        <is>
          <t>Martabak</t>
        </is>
      </c>
      <c r="H141" s="0" t="inlineStr">
        <is>
          <t>d3bdbe6f-eb9d-4ba3-a5f2-92ed8a8f0887</t>
        </is>
      </c>
      <c r="I141" s="0" t="inlineStr">
        <is>
          <t>Martabak Keju Coklat</t>
        </is>
      </c>
      <c r="J141" s="0" t="inlineStr"/>
      <c r="K141" s="0" t="inlineStr"/>
      <c r="L141" s="0" t="inlineStr"/>
      <c r="M141" s="0" t="inlineStr"/>
      <c r="N141" s="0" t="inlineStr"/>
      <c r="O141" s="0" t="n">
        <v>0</v>
      </c>
      <c r="P141" s="0" t="n">
        <v>0</v>
      </c>
      <c r="Q141" s="0" t="n">
        <v>0</v>
      </c>
      <c r="R141" s="0" t="inlineStr">
        <is>
          <t>Available</t>
        </is>
      </c>
      <c r="S141" s="0" t="inlineStr">
        <is>
          <t>Show</t>
        </is>
      </c>
      <c r="W141" s="0" t="inlineStr"/>
      <c r="X141" s="0" t="inlineStr"/>
      <c r="Z141" s="168" t="n"/>
      <c r="AA141" s="0" t="n">
        <v>52000</v>
      </c>
      <c r="AB141" s="0" t="n">
        <v>52000</v>
      </c>
      <c r="AC141" s="0" t="inlineStr"/>
      <c r="AG141" s="168" t="n"/>
      <c r="AI141" s="168" t="inlineStr"/>
      <c r="AK141" s="0" t="inlineStr"/>
      <c r="AM141" s="168" t="inlineStr"/>
      <c r="AO141" s="168" t="n"/>
      <c r="AP141" s="0" t="inlineStr"/>
    </row>
    <row r="142">
      <c r="A142" s="0" t="inlineStr">
        <is>
          <t>GoFood</t>
        </is>
      </c>
      <c r="B142" s="0" t="inlineStr">
        <is>
          <t>Superfood (test)</t>
        </is>
      </c>
      <c r="C142" s="0" t="inlineStr">
        <is>
          <t>F</t>
        </is>
      </c>
      <c r="D142" s="0" t="inlineStr">
        <is>
          <t>https://gofood.link/a/G828092803</t>
        </is>
      </c>
      <c r="E142" s="0" t="inlineStr">
        <is>
          <t>G828092803</t>
        </is>
      </c>
      <c r="F142" s="0" t="inlineStr">
        <is>
          <t>f73c554d-b791-428b-991f-bf9026d5548c</t>
        </is>
      </c>
      <c r="G142" s="0" t="inlineStr">
        <is>
          <t>Martabak</t>
        </is>
      </c>
      <c r="H142" s="0" t="inlineStr">
        <is>
          <t>4badba5d-05d4-4d1a-9137-31ecf309e4d3</t>
        </is>
      </c>
      <c r="I142" s="0" t="inlineStr">
        <is>
          <t>Martabak Kacang</t>
        </is>
      </c>
      <c r="J142" s="0" t="inlineStr"/>
      <c r="K142" s="0" t="inlineStr"/>
      <c r="L142" s="0" t="inlineStr"/>
      <c r="M142" s="0" t="inlineStr"/>
      <c r="N142" s="0" t="inlineStr"/>
      <c r="O142" s="0" t="n">
        <v>0</v>
      </c>
      <c r="P142" s="0" t="n">
        <v>0</v>
      </c>
      <c r="Q142" s="0" t="n">
        <v>0</v>
      </c>
      <c r="R142" s="0" t="inlineStr">
        <is>
          <t>Available</t>
        </is>
      </c>
      <c r="S142" s="0" t="inlineStr">
        <is>
          <t>Show</t>
        </is>
      </c>
      <c r="W142" s="0" t="inlineStr"/>
      <c r="X142" s="0" t="inlineStr"/>
      <c r="Z142" s="168" t="n"/>
      <c r="AA142" s="0" t="n">
        <v>47000</v>
      </c>
      <c r="AB142" s="0" t="n">
        <v>47000</v>
      </c>
      <c r="AC142" s="0" t="inlineStr"/>
      <c r="AG142" s="168" t="n"/>
      <c r="AI142" s="168" t="inlineStr"/>
      <c r="AK142" s="0" t="inlineStr"/>
      <c r="AM142" s="168" t="inlineStr"/>
      <c r="AO142" s="168" t="n"/>
      <c r="AP142" s="0" t="inlineStr"/>
    </row>
    <row r="143">
      <c r="A143" s="0" t="inlineStr">
        <is>
          <t>GoFood</t>
        </is>
      </c>
      <c r="B143" s="0" t="inlineStr">
        <is>
          <t>Superfood (test)</t>
        </is>
      </c>
      <c r="C143" s="0" t="inlineStr">
        <is>
          <t>F</t>
        </is>
      </c>
      <c r="D143" s="0" t="inlineStr">
        <is>
          <t>https://gofood.link/a/G828092803</t>
        </is>
      </c>
      <c r="E143" s="0" t="inlineStr">
        <is>
          <t>G828092803</t>
        </is>
      </c>
      <c r="F143" s="0" t="inlineStr">
        <is>
          <t>f73c554d-b791-428b-991f-bf9026d5548c</t>
        </is>
      </c>
      <c r="G143" s="0" t="inlineStr">
        <is>
          <t>Martabak</t>
        </is>
      </c>
      <c r="H143" s="0" t="inlineStr">
        <is>
          <t>183c5d28-4f57-4715-9b8c-9c017879746a</t>
        </is>
      </c>
      <c r="I143" s="0" t="inlineStr">
        <is>
          <t>Martabak Durian</t>
        </is>
      </c>
      <c r="J143" s="0" t="inlineStr"/>
      <c r="K143" s="0" t="inlineStr"/>
      <c r="L143" s="0" t="inlineStr"/>
      <c r="M143" s="0" t="inlineStr"/>
      <c r="N143" s="0" t="inlineStr"/>
      <c r="O143" s="0" t="n">
        <v>0</v>
      </c>
      <c r="P143" s="0" t="n">
        <v>0</v>
      </c>
      <c r="Q143" s="0" t="n">
        <v>0</v>
      </c>
      <c r="R143" s="0" t="inlineStr">
        <is>
          <t>Available</t>
        </is>
      </c>
      <c r="S143" s="0" t="inlineStr">
        <is>
          <t>Show</t>
        </is>
      </c>
      <c r="W143" s="0" t="inlineStr"/>
      <c r="X143" s="0" t="inlineStr"/>
      <c r="Z143" s="168" t="n"/>
      <c r="AA143" s="0" t="n">
        <v>57000</v>
      </c>
      <c r="AB143" s="0" t="n">
        <v>57000</v>
      </c>
      <c r="AC143" s="0" t="inlineStr"/>
      <c r="AG143" s="168" t="n"/>
      <c r="AI143" s="168" t="inlineStr"/>
      <c r="AK143" s="0" t="inlineStr"/>
      <c r="AM143" s="168" t="inlineStr"/>
      <c r="AO143" s="168" t="n"/>
      <c r="AP143" s="0" t="inlineStr"/>
    </row>
    <row r="144">
      <c r="A144" s="0" t="inlineStr">
        <is>
          <t>GoFood</t>
        </is>
      </c>
      <c r="B144" s="0" t="inlineStr">
        <is>
          <t>Superfood (test)</t>
        </is>
      </c>
      <c r="C144" s="0" t="inlineStr">
        <is>
          <t>F</t>
        </is>
      </c>
      <c r="D144" s="0" t="inlineStr">
        <is>
          <t>https://gofood.link/a/G828092803</t>
        </is>
      </c>
      <c r="E144" s="0" t="inlineStr">
        <is>
          <t>G828092803</t>
        </is>
      </c>
      <c r="F144" s="0" t="inlineStr">
        <is>
          <t>29468576-16bc-422b-b1e0-9e71b96ca7de</t>
        </is>
      </c>
      <c r="G144" s="0" t="inlineStr">
        <is>
          <t>Gorengan &amp; Snack</t>
        </is>
      </c>
      <c r="H144" s="0" t="inlineStr">
        <is>
          <t>8936e008-e969-44fe-87b8-2b575a5a87e6</t>
        </is>
      </c>
      <c r="I144" s="0" t="inlineStr">
        <is>
          <t>Pisang Goreng</t>
        </is>
      </c>
      <c r="J144" s="0" t="inlineStr"/>
      <c r="K144" s="0" t="inlineStr"/>
      <c r="L144" s="0" t="inlineStr"/>
      <c r="M144" s="0" t="inlineStr"/>
      <c r="N144" s="0" t="inlineStr"/>
      <c r="O144" s="0" t="n">
        <v>0</v>
      </c>
      <c r="P144" s="0" t="n">
        <v>0</v>
      </c>
      <c r="Q144" s="0" t="n">
        <v>0</v>
      </c>
      <c r="R144" s="0" t="inlineStr">
        <is>
          <t>Available</t>
        </is>
      </c>
      <c r="S144" s="0" t="inlineStr">
        <is>
          <t>Show</t>
        </is>
      </c>
      <c r="W144" s="0" t="inlineStr"/>
      <c r="X144" s="0" t="inlineStr"/>
      <c r="Z144" s="168" t="n"/>
      <c r="AA144" s="0" t="n">
        <v>14000</v>
      </c>
      <c r="AB144" s="0" t="n">
        <v>14000</v>
      </c>
      <c r="AC144" s="0" t="inlineStr"/>
      <c r="AG144" s="168" t="n"/>
      <c r="AI144" s="168" t="inlineStr"/>
      <c r="AK144" s="0" t="inlineStr"/>
      <c r="AM144" s="168" t="inlineStr"/>
      <c r="AO144" s="168" t="n"/>
      <c r="AP144" s="0" t="inlineStr"/>
    </row>
    <row r="145">
      <c r="A145" s="0" t="inlineStr">
        <is>
          <t>GoFood</t>
        </is>
      </c>
      <c r="B145" s="0" t="inlineStr">
        <is>
          <t>Superfood (test)</t>
        </is>
      </c>
      <c r="C145" s="0" t="inlineStr">
        <is>
          <t>F</t>
        </is>
      </c>
      <c r="D145" s="0" t="inlineStr">
        <is>
          <t>https://gofood.link/a/G828092803</t>
        </is>
      </c>
      <c r="E145" s="0" t="inlineStr">
        <is>
          <t>G828092803</t>
        </is>
      </c>
      <c r="F145" s="0" t="inlineStr">
        <is>
          <t>29468576-16bc-422b-b1e0-9e71b96ca7de</t>
        </is>
      </c>
      <c r="G145" s="0" t="inlineStr">
        <is>
          <t>Gorengan &amp; Snack</t>
        </is>
      </c>
      <c r="H145" s="0" t="inlineStr">
        <is>
          <t>a0294a19-6c19-4898-a5a2-d4be912821d9</t>
        </is>
      </c>
      <c r="I145" s="0" t="inlineStr">
        <is>
          <t>Tahu Isi</t>
        </is>
      </c>
      <c r="J145" s="0" t="inlineStr"/>
      <c r="K145" s="0" t="inlineStr"/>
      <c r="L145" s="0" t="inlineStr"/>
      <c r="M145" s="0" t="inlineStr"/>
      <c r="N145" s="0" t="inlineStr"/>
      <c r="O145" s="0" t="n">
        <v>0</v>
      </c>
      <c r="P145" s="0" t="n">
        <v>0</v>
      </c>
      <c r="Q145" s="0" t="n">
        <v>0</v>
      </c>
      <c r="R145" s="0" t="inlineStr">
        <is>
          <t>Available</t>
        </is>
      </c>
      <c r="S145" s="0" t="inlineStr">
        <is>
          <t>Show</t>
        </is>
      </c>
      <c r="W145" s="0" t="inlineStr"/>
      <c r="X145" s="0" t="inlineStr"/>
      <c r="Z145" s="168" t="n"/>
      <c r="AA145" s="0" t="n">
        <v>12000</v>
      </c>
      <c r="AB145" s="0" t="n">
        <v>12000</v>
      </c>
      <c r="AC145" s="0" t="inlineStr"/>
      <c r="AG145" s="168" t="n"/>
      <c r="AI145" s="168" t="inlineStr"/>
      <c r="AK145" s="0" t="inlineStr"/>
      <c r="AM145" s="168" t="inlineStr"/>
      <c r="AO145" s="168" t="n"/>
      <c r="AP145" s="0" t="inlineStr"/>
    </row>
    <row r="146">
      <c r="A146" s="0" t="inlineStr">
        <is>
          <t>GoFood</t>
        </is>
      </c>
      <c r="B146" s="0" t="inlineStr">
        <is>
          <t>Superfood (test)</t>
        </is>
      </c>
      <c r="C146" s="0" t="inlineStr">
        <is>
          <t>F</t>
        </is>
      </c>
      <c r="D146" s="0" t="inlineStr">
        <is>
          <t>https://gofood.link/a/G828092803</t>
        </is>
      </c>
      <c r="E146" s="0" t="inlineStr">
        <is>
          <t>G828092803</t>
        </is>
      </c>
      <c r="F146" s="0" t="inlineStr">
        <is>
          <t>29468576-16bc-422b-b1e0-9e71b96ca7de</t>
        </is>
      </c>
      <c r="G146" s="0" t="inlineStr">
        <is>
          <t>Gorengan &amp; Snack</t>
        </is>
      </c>
      <c r="H146" s="0" t="inlineStr">
        <is>
          <t>85724197-daa2-4f3a-bf22-6fe16b9fac47</t>
        </is>
      </c>
      <c r="I146" s="0" t="inlineStr">
        <is>
          <t>Bakwan Sayur</t>
        </is>
      </c>
      <c r="J146" s="0" t="inlineStr"/>
      <c r="K146" s="0" t="inlineStr"/>
      <c r="L146" s="0" t="inlineStr"/>
      <c r="M146" s="0" t="inlineStr"/>
      <c r="N146" s="0" t="inlineStr"/>
      <c r="O146" s="0" t="n">
        <v>0</v>
      </c>
      <c r="P146" s="0" t="n">
        <v>0</v>
      </c>
      <c r="Q146" s="0" t="n">
        <v>0</v>
      </c>
      <c r="R146" s="0" t="inlineStr">
        <is>
          <t>Available</t>
        </is>
      </c>
      <c r="S146" s="0" t="inlineStr">
        <is>
          <t>Show</t>
        </is>
      </c>
      <c r="W146" s="0" t="inlineStr"/>
      <c r="X146" s="0" t="inlineStr"/>
      <c r="Z146" s="168" t="n"/>
      <c r="AA146" s="0" t="n">
        <v>10000</v>
      </c>
      <c r="AB146" s="0" t="n">
        <v>10000</v>
      </c>
      <c r="AC146" s="0" t="inlineStr"/>
      <c r="AG146" s="168" t="n"/>
      <c r="AI146" s="168" t="inlineStr"/>
      <c r="AK146" s="0" t="inlineStr"/>
      <c r="AM146" s="168" t="inlineStr"/>
      <c r="AO146" s="168" t="n"/>
      <c r="AP146" s="0" t="inlineStr"/>
    </row>
    <row r="147">
      <c r="A147" s="0" t="inlineStr">
        <is>
          <t>GoFood</t>
        </is>
      </c>
      <c r="B147" s="0" t="inlineStr">
        <is>
          <t>Superfood (test)</t>
        </is>
      </c>
      <c r="C147" s="0" t="inlineStr">
        <is>
          <t>F</t>
        </is>
      </c>
      <c r="D147" s="0" t="inlineStr">
        <is>
          <t>https://gofood.link/a/G828092803</t>
        </is>
      </c>
      <c r="E147" s="0" t="inlineStr">
        <is>
          <t>G828092803</t>
        </is>
      </c>
      <c r="F147" s="0" t="inlineStr">
        <is>
          <t>29468576-16bc-422b-b1e0-9e71b96ca7de</t>
        </is>
      </c>
      <c r="G147" s="0" t="inlineStr">
        <is>
          <t>Gorengan &amp; Snack</t>
        </is>
      </c>
      <c r="H147" s="0" t="inlineStr">
        <is>
          <t>bd9062b1-3ec7-4e53-8d21-a029b3b54b07</t>
        </is>
      </c>
      <c r="I147" s="0" t="inlineStr">
        <is>
          <t>Tempe Mendoan</t>
        </is>
      </c>
      <c r="J147" s="0" t="inlineStr"/>
      <c r="K147" s="0" t="inlineStr"/>
      <c r="L147" s="0" t="inlineStr"/>
      <c r="M147" s="0" t="inlineStr"/>
      <c r="N147" s="0" t="inlineStr"/>
      <c r="O147" s="0" t="n">
        <v>0</v>
      </c>
      <c r="P147" s="0" t="n">
        <v>0</v>
      </c>
      <c r="Q147" s="0" t="n">
        <v>0</v>
      </c>
      <c r="R147" s="0" t="inlineStr">
        <is>
          <t>Available</t>
        </is>
      </c>
      <c r="S147" s="0" t="inlineStr">
        <is>
          <t>Show</t>
        </is>
      </c>
      <c r="W147" s="0" t="inlineStr"/>
      <c r="X147" s="0" t="inlineStr"/>
      <c r="Z147" s="168" t="n"/>
      <c r="AA147" s="0" t="n">
        <v>12000</v>
      </c>
      <c r="AB147" s="0" t="n">
        <v>12000</v>
      </c>
      <c r="AC147" s="0" t="inlineStr"/>
      <c r="AG147" s="168" t="n"/>
      <c r="AI147" s="168" t="inlineStr"/>
      <c r="AK147" s="0" t="inlineStr"/>
      <c r="AM147" s="168" t="inlineStr"/>
      <c r="AO147" s="168" t="n"/>
      <c r="AP147" s="0" t="inlineStr"/>
    </row>
    <row r="148">
      <c r="A148" s="0" t="inlineStr">
        <is>
          <t>GoFood</t>
        </is>
      </c>
      <c r="B148" s="0" t="inlineStr">
        <is>
          <t>Superfood (test)</t>
        </is>
      </c>
      <c r="C148" s="0" t="inlineStr">
        <is>
          <t>F</t>
        </is>
      </c>
      <c r="D148" s="0" t="inlineStr">
        <is>
          <t>https://gofood.link/a/G828092803</t>
        </is>
      </c>
      <c r="E148" s="0" t="inlineStr">
        <is>
          <t>G828092803</t>
        </is>
      </c>
      <c r="F148" s="0" t="inlineStr">
        <is>
          <t>29468576-16bc-422b-b1e0-9e71b96ca7de</t>
        </is>
      </c>
      <c r="G148" s="0" t="inlineStr">
        <is>
          <t>Gorengan &amp; Snack</t>
        </is>
      </c>
      <c r="H148" s="0" t="inlineStr">
        <is>
          <t>ef0fad1f-3ae2-424b-aa53-e0fa1518f472</t>
        </is>
      </c>
      <c r="I148" s="0" t="inlineStr">
        <is>
          <t>Risoles Mayo</t>
        </is>
      </c>
      <c r="J148" s="0" t="inlineStr"/>
      <c r="K148" s="0" t="inlineStr"/>
      <c r="L148" s="0" t="inlineStr"/>
      <c r="M148" s="0" t="inlineStr"/>
      <c r="N148" s="0" t="inlineStr"/>
      <c r="O148" s="0" t="n">
        <v>0</v>
      </c>
      <c r="P148" s="0" t="n">
        <v>0</v>
      </c>
      <c r="Q148" s="0" t="n">
        <v>0</v>
      </c>
      <c r="R148" s="0" t="inlineStr">
        <is>
          <t>Available</t>
        </is>
      </c>
      <c r="S148" s="0" t="inlineStr">
        <is>
          <t>Show</t>
        </is>
      </c>
      <c r="W148" s="0" t="inlineStr"/>
      <c r="X148" s="0" t="inlineStr"/>
      <c r="Z148" s="168" t="n"/>
      <c r="AA148" s="0" t="n">
        <v>14000</v>
      </c>
      <c r="AB148" s="0" t="n">
        <v>14000</v>
      </c>
      <c r="AC148" s="0" t="inlineStr"/>
      <c r="AG148" s="168" t="n"/>
      <c r="AI148" s="168" t="inlineStr"/>
      <c r="AK148" s="0" t="inlineStr"/>
      <c r="AM148" s="168" t="inlineStr"/>
      <c r="AO148" s="168" t="n"/>
      <c r="AP148" s="0" t="inlineStr"/>
    </row>
    <row r="149">
      <c r="A149" s="0" t="inlineStr">
        <is>
          <t>GoFood</t>
        </is>
      </c>
      <c r="B149" s="0" t="inlineStr">
        <is>
          <t>Superfood (test)</t>
        </is>
      </c>
      <c r="C149" s="0" t="inlineStr">
        <is>
          <t>F</t>
        </is>
      </c>
      <c r="D149" s="0" t="inlineStr">
        <is>
          <t>https://gofood.link/a/G828092803</t>
        </is>
      </c>
      <c r="E149" s="0" t="inlineStr">
        <is>
          <t>G828092803</t>
        </is>
      </c>
      <c r="F149" s="0" t="inlineStr">
        <is>
          <t>29468576-16bc-422b-b1e0-9e71b96ca7de</t>
        </is>
      </c>
      <c r="G149" s="0" t="inlineStr">
        <is>
          <t>Gorengan &amp; Snack</t>
        </is>
      </c>
      <c r="H149" s="0" t="inlineStr">
        <is>
          <t>a2eee198-899a-48bb-8381-21579c64fff2</t>
        </is>
      </c>
      <c r="I149" s="0" t="inlineStr">
        <is>
          <t>Cireng Bumbu Rujak</t>
        </is>
      </c>
      <c r="J149" s="0" t="inlineStr"/>
      <c r="K149" s="0" t="inlineStr"/>
      <c r="L149" s="0" t="inlineStr"/>
      <c r="M149" s="0" t="inlineStr"/>
      <c r="N149" s="0" t="inlineStr"/>
      <c r="O149" s="0" t="n">
        <v>0</v>
      </c>
      <c r="P149" s="0" t="n">
        <v>0</v>
      </c>
      <c r="Q149" s="0" t="n">
        <v>0</v>
      </c>
      <c r="R149" s="0" t="inlineStr">
        <is>
          <t>Available</t>
        </is>
      </c>
      <c r="S149" s="0" t="inlineStr">
        <is>
          <t>Show</t>
        </is>
      </c>
      <c r="W149" s="0" t="inlineStr"/>
      <c r="X149" s="0" t="inlineStr"/>
      <c r="Z149" s="168" t="n"/>
      <c r="AA149" s="0" t="n">
        <v>14000</v>
      </c>
      <c r="AB149" s="0" t="n">
        <v>14000</v>
      </c>
      <c r="AC149" s="0" t="inlineStr"/>
      <c r="AG149" s="168" t="n"/>
      <c r="AI149" s="168" t="inlineStr"/>
      <c r="AK149" s="0" t="inlineStr"/>
      <c r="AM149" s="168" t="inlineStr"/>
      <c r="AO149" s="168" t="n"/>
      <c r="AP149" s="0" t="inlineStr"/>
    </row>
    <row r="150">
      <c r="A150" s="0" t="inlineStr">
        <is>
          <t>GoFood</t>
        </is>
      </c>
      <c r="B150" s="0" t="inlineStr">
        <is>
          <t>Superfood (test)</t>
        </is>
      </c>
      <c r="C150" s="0" t="inlineStr">
        <is>
          <t>F</t>
        </is>
      </c>
      <c r="D150" s="0" t="inlineStr">
        <is>
          <t>https://gofood.link/a/G828092803</t>
        </is>
      </c>
      <c r="E150" s="0" t="inlineStr">
        <is>
          <t>G828092803</t>
        </is>
      </c>
      <c r="F150" s="0" t="inlineStr">
        <is>
          <t>29468576-16bc-422b-b1e0-9e71b96ca7de</t>
        </is>
      </c>
      <c r="G150" s="0" t="inlineStr">
        <is>
          <t>Gorengan &amp; Snack</t>
        </is>
      </c>
      <c r="H150" s="0" t="inlineStr">
        <is>
          <t>f5ece7eb-f13d-4ce0-be90-8f8e6aad6880</t>
        </is>
      </c>
      <c r="I150" s="0" t="inlineStr">
        <is>
          <t>Kentang Goreng</t>
        </is>
      </c>
      <c r="J150" s="0" t="inlineStr"/>
      <c r="K150" s="0" t="inlineStr"/>
      <c r="L150" s="0" t="inlineStr"/>
      <c r="M150" s="0" t="inlineStr"/>
      <c r="N150" s="0" t="inlineStr"/>
      <c r="O150" s="0" t="n">
        <v>0</v>
      </c>
      <c r="P150" s="0" t="n">
        <v>0</v>
      </c>
      <c r="Q150" s="0" t="n">
        <v>0</v>
      </c>
      <c r="R150" s="0" t="inlineStr">
        <is>
          <t>Available</t>
        </is>
      </c>
      <c r="S150" s="0" t="inlineStr">
        <is>
          <t>Show</t>
        </is>
      </c>
      <c r="W150" s="0" t="inlineStr"/>
      <c r="X150" s="0" t="inlineStr"/>
      <c r="Z150" s="168" t="n"/>
      <c r="AA150" s="0" t="n">
        <v>17000</v>
      </c>
      <c r="AB150" s="0" t="n">
        <v>17000</v>
      </c>
      <c r="AC150" s="0" t="inlineStr"/>
      <c r="AG150" s="168" t="n"/>
      <c r="AI150" s="168" t="inlineStr"/>
      <c r="AK150" s="0" t="inlineStr"/>
      <c r="AM150" s="168" t="inlineStr"/>
      <c r="AO150" s="168" t="n"/>
      <c r="AP150" s="0" t="inlineStr"/>
    </row>
    <row r="151">
      <c r="A151" s="0" t="inlineStr">
        <is>
          <t>GoFood</t>
        </is>
      </c>
      <c r="B151" s="0" t="inlineStr">
        <is>
          <t>Superfood (test)</t>
        </is>
      </c>
      <c r="C151" s="0" t="inlineStr">
        <is>
          <t>F</t>
        </is>
      </c>
      <c r="D151" s="0" t="inlineStr">
        <is>
          <t>https://gofood.link/a/G828092803</t>
        </is>
      </c>
      <c r="E151" s="0" t="inlineStr">
        <is>
          <t>G828092803</t>
        </is>
      </c>
      <c r="F151" s="0" t="inlineStr">
        <is>
          <t>29468576-16bc-422b-b1e0-9e71b96ca7de</t>
        </is>
      </c>
      <c r="G151" s="0" t="inlineStr">
        <is>
          <t>Gorengan &amp; Snack</t>
        </is>
      </c>
      <c r="H151" s="0" t="inlineStr">
        <is>
          <t>5225bb8a-fa1b-4d61-8759-298b91071bff</t>
        </is>
      </c>
      <c r="I151" s="0" t="inlineStr">
        <is>
          <t>Onion Rings</t>
        </is>
      </c>
      <c r="J151" s="0" t="inlineStr"/>
      <c r="K151" s="0" t="inlineStr"/>
      <c r="L151" s="0" t="inlineStr"/>
      <c r="M151" s="0" t="inlineStr"/>
      <c r="N151" s="0" t="inlineStr"/>
      <c r="O151" s="0" t="n">
        <v>0</v>
      </c>
      <c r="P151" s="0" t="n">
        <v>0</v>
      </c>
      <c r="Q151" s="0" t="n">
        <v>0</v>
      </c>
      <c r="R151" s="0" t="inlineStr">
        <is>
          <t>Available</t>
        </is>
      </c>
      <c r="S151" s="0" t="inlineStr">
        <is>
          <t>Show</t>
        </is>
      </c>
      <c r="W151" s="0" t="inlineStr"/>
      <c r="X151" s="0" t="inlineStr"/>
      <c r="Z151" s="168" t="n"/>
      <c r="AA151" s="0" t="n">
        <v>17000</v>
      </c>
      <c r="AB151" s="0" t="n">
        <v>17000</v>
      </c>
      <c r="AC151" s="0" t="inlineStr"/>
      <c r="AG151" s="168" t="n"/>
      <c r="AI151" s="168" t="inlineStr"/>
      <c r="AK151" s="0" t="inlineStr"/>
      <c r="AM151" s="168" t="inlineStr"/>
      <c r="AO151" s="168" t="n"/>
      <c r="AP151" s="0" t="inlineStr"/>
    </row>
    <row r="152">
      <c r="A152" s="0" t="inlineStr">
        <is>
          <t>GoFood</t>
        </is>
      </c>
      <c r="B152" s="0" t="inlineStr">
        <is>
          <t>Superfood (test)</t>
        </is>
      </c>
      <c r="C152" s="0" t="inlineStr">
        <is>
          <t>F</t>
        </is>
      </c>
      <c r="D152" s="0" t="inlineStr">
        <is>
          <t>https://gofood.link/a/G828092803</t>
        </is>
      </c>
      <c r="E152" s="0" t="inlineStr">
        <is>
          <t>G828092803</t>
        </is>
      </c>
      <c r="F152" s="0" t="inlineStr">
        <is>
          <t>29468576-16bc-422b-b1e0-9e71b96ca7de</t>
        </is>
      </c>
      <c r="G152" s="0" t="inlineStr">
        <is>
          <t>Gorengan &amp; Snack</t>
        </is>
      </c>
      <c r="H152" s="0" t="inlineStr">
        <is>
          <t>f324aef4-5c35-4ebf-9033-9c99ab3726f0</t>
        </is>
      </c>
      <c r="I152" s="0" t="inlineStr">
        <is>
          <t>Tahu Krispi</t>
        </is>
      </c>
      <c r="J152" s="0" t="inlineStr"/>
      <c r="K152" s="0" t="inlineStr"/>
      <c r="L152" s="0" t="inlineStr"/>
      <c r="M152" s="0" t="inlineStr"/>
      <c r="N152" s="0" t="inlineStr"/>
      <c r="O152" s="0" t="n">
        <v>0</v>
      </c>
      <c r="P152" s="0" t="n">
        <v>0</v>
      </c>
      <c r="Q152" s="0" t="n">
        <v>0</v>
      </c>
      <c r="R152" s="0" t="inlineStr">
        <is>
          <t>Available</t>
        </is>
      </c>
      <c r="S152" s="0" t="inlineStr">
        <is>
          <t>Show</t>
        </is>
      </c>
      <c r="W152" s="0" t="inlineStr"/>
      <c r="X152" s="0" t="inlineStr"/>
      <c r="Z152" s="168" t="n"/>
      <c r="AA152" s="0" t="n">
        <v>14000</v>
      </c>
      <c r="AB152" s="0" t="n">
        <v>14000</v>
      </c>
      <c r="AC152" s="0" t="inlineStr"/>
      <c r="AG152" s="168" t="n"/>
      <c r="AI152" s="168" t="inlineStr"/>
      <c r="AK152" s="0" t="inlineStr"/>
      <c r="AM152" s="168" t="inlineStr"/>
      <c r="AO152" s="168" t="n"/>
      <c r="AP152" s="0" t="inlineStr"/>
    </row>
    <row r="153">
      <c r="A153" s="0" t="inlineStr">
        <is>
          <t>GoFood</t>
        </is>
      </c>
      <c r="B153" s="0" t="inlineStr">
        <is>
          <t>Superfood (test)</t>
        </is>
      </c>
      <c r="C153" s="0" t="inlineStr">
        <is>
          <t>F</t>
        </is>
      </c>
      <c r="D153" s="0" t="inlineStr">
        <is>
          <t>https://gofood.link/a/G828092803</t>
        </is>
      </c>
      <c r="E153" s="0" t="inlineStr">
        <is>
          <t>G828092803</t>
        </is>
      </c>
      <c r="F153" s="0" t="inlineStr">
        <is>
          <t>29468576-16bc-422b-b1e0-9e71b96ca7de</t>
        </is>
      </c>
      <c r="G153" s="0" t="inlineStr">
        <is>
          <t>Gorengan &amp; Snack</t>
        </is>
      </c>
      <c r="H153" s="0" t="inlineStr">
        <is>
          <t>6742924e-7d3e-4da9-9be9-3f92217e8160</t>
        </is>
      </c>
      <c r="I153" s="0" t="inlineStr">
        <is>
          <t>Cimol</t>
        </is>
      </c>
      <c r="J153" s="0" t="inlineStr"/>
      <c r="K153" s="0" t="inlineStr"/>
      <c r="L153" s="0" t="inlineStr"/>
      <c r="M153" s="0" t="inlineStr"/>
      <c r="N153" s="0" t="inlineStr"/>
      <c r="O153" s="0" t="n">
        <v>0</v>
      </c>
      <c r="P153" s="0" t="n">
        <v>0</v>
      </c>
      <c r="Q153" s="0" t="n">
        <v>0</v>
      </c>
      <c r="R153" s="0" t="inlineStr">
        <is>
          <t>Available</t>
        </is>
      </c>
      <c r="S153" s="0" t="inlineStr">
        <is>
          <t>Show</t>
        </is>
      </c>
      <c r="W153" s="0" t="inlineStr"/>
      <c r="X153" s="0" t="inlineStr"/>
      <c r="Z153" s="168" t="n"/>
      <c r="AA153" s="0" t="n">
        <v>12000</v>
      </c>
      <c r="AB153" s="0" t="n">
        <v>12000</v>
      </c>
      <c r="AC153" s="0" t="inlineStr"/>
      <c r="AG153" s="168" t="n"/>
      <c r="AI153" s="168" t="inlineStr"/>
      <c r="AK153" s="0" t="inlineStr"/>
      <c r="AM153" s="168" t="inlineStr"/>
      <c r="AO153" s="168" t="n"/>
      <c r="AP153" s="0" t="inlineStr"/>
    </row>
    <row r="154">
      <c r="A154" s="0" t="inlineStr">
        <is>
          <t>GoFood</t>
        </is>
      </c>
      <c r="B154" s="0" t="inlineStr">
        <is>
          <t>Superfood (test)</t>
        </is>
      </c>
      <c r="C154" s="0" t="inlineStr">
        <is>
          <t>F</t>
        </is>
      </c>
      <c r="D154" s="0" t="inlineStr">
        <is>
          <t>https://gofood.link/a/G828092803</t>
        </is>
      </c>
      <c r="E154" s="0" t="inlineStr">
        <is>
          <t>G828092803</t>
        </is>
      </c>
      <c r="F154" s="0" t="inlineStr">
        <is>
          <t>b464302c-b242-4533-b90c-1d70e0608fe7</t>
        </is>
      </c>
      <c r="G154" s="0" t="inlineStr">
        <is>
          <t>Minuman Soda</t>
        </is>
      </c>
      <c r="H154" s="0" t="inlineStr">
        <is>
          <t>3e8c2733-375a-434a-973c-7b1713daf58e</t>
        </is>
      </c>
      <c r="I154" s="0" t="inlineStr">
        <is>
          <t>Soda Gembira</t>
        </is>
      </c>
      <c r="J154" s="0" t="inlineStr"/>
      <c r="K154" s="0" t="inlineStr"/>
      <c r="L154" s="0" t="inlineStr"/>
      <c r="M154" s="0" t="inlineStr"/>
      <c r="N154" s="0" t="inlineStr"/>
      <c r="O154" s="0" t="n">
        <v>0</v>
      </c>
      <c r="P154" s="0" t="n">
        <v>0</v>
      </c>
      <c r="Q154" s="0" t="n">
        <v>0</v>
      </c>
      <c r="R154" s="0" t="inlineStr">
        <is>
          <t>Available</t>
        </is>
      </c>
      <c r="S154" s="0" t="inlineStr">
        <is>
          <t>Show</t>
        </is>
      </c>
      <c r="W154" s="0" t="inlineStr"/>
      <c r="X154" s="0" t="inlineStr"/>
      <c r="Z154" s="168" t="n"/>
      <c r="AA154" s="0" t="n">
        <v>17000</v>
      </c>
      <c r="AB154" s="0" t="n">
        <v>17000</v>
      </c>
      <c r="AC154" s="0" t="inlineStr"/>
      <c r="AG154" s="168" t="n"/>
      <c r="AI154" s="168" t="inlineStr"/>
      <c r="AK154" s="0" t="inlineStr"/>
      <c r="AM154" s="168" t="inlineStr"/>
      <c r="AO154" s="168" t="n"/>
      <c r="AP154" s="0" t="inlineStr"/>
    </row>
    <row r="155">
      <c r="A155" s="0" t="inlineStr">
        <is>
          <t>GoFood</t>
        </is>
      </c>
      <c r="B155" s="0" t="inlineStr">
        <is>
          <t>Superfood (test)</t>
        </is>
      </c>
      <c r="C155" s="0" t="inlineStr">
        <is>
          <t>F</t>
        </is>
      </c>
      <c r="D155" s="0" t="inlineStr">
        <is>
          <t>https://gofood.link/a/G828092803</t>
        </is>
      </c>
      <c r="E155" s="0" t="inlineStr">
        <is>
          <t>G828092803</t>
        </is>
      </c>
      <c r="F155" s="0" t="inlineStr">
        <is>
          <t>b464302c-b242-4533-b90c-1d70e0608fe7</t>
        </is>
      </c>
      <c r="G155" s="0" t="inlineStr">
        <is>
          <t>Minuman Soda</t>
        </is>
      </c>
      <c r="H155" s="0" t="inlineStr">
        <is>
          <t>98ee360b-6880-44e4-a79b-b3c252e1c46d</t>
        </is>
      </c>
      <c r="I155" s="0" t="inlineStr">
        <is>
          <t>Float Coklat</t>
        </is>
      </c>
      <c r="J155" s="0" t="inlineStr"/>
      <c r="K155" s="0" t="inlineStr"/>
      <c r="L155" s="0" t="inlineStr"/>
      <c r="M155" s="0" t="inlineStr"/>
      <c r="N155" s="0" t="inlineStr"/>
      <c r="O155" s="0" t="n">
        <v>0</v>
      </c>
      <c r="P155" s="0" t="n">
        <v>0</v>
      </c>
      <c r="Q155" s="0" t="n">
        <v>0</v>
      </c>
      <c r="R155" s="0" t="inlineStr">
        <is>
          <t>Available</t>
        </is>
      </c>
      <c r="S155" s="0" t="inlineStr">
        <is>
          <t>Show</t>
        </is>
      </c>
      <c r="W155" s="0" t="inlineStr"/>
      <c r="X155" s="0" t="inlineStr"/>
      <c r="Z155" s="168" t="n"/>
      <c r="AA155" s="0" t="n">
        <v>20000</v>
      </c>
      <c r="AB155" s="0" t="n">
        <v>20000</v>
      </c>
      <c r="AC155" s="0" t="inlineStr"/>
      <c r="AG155" s="168" t="n"/>
      <c r="AI155" s="168" t="inlineStr"/>
      <c r="AK155" s="0" t="inlineStr"/>
      <c r="AM155" s="168" t="inlineStr"/>
      <c r="AO155" s="168" t="n"/>
      <c r="AP155" s="0" t="inlineStr"/>
    </row>
    <row r="156">
      <c r="A156" s="0" t="inlineStr">
        <is>
          <t>GoFood</t>
        </is>
      </c>
      <c r="B156" s="0" t="inlineStr">
        <is>
          <t>Superfood (test)</t>
        </is>
      </c>
      <c r="C156" s="0" t="inlineStr">
        <is>
          <t>F</t>
        </is>
      </c>
      <c r="D156" s="0" t="inlineStr">
        <is>
          <t>https://gofood.link/a/G828092803</t>
        </is>
      </c>
      <c r="E156" s="0" t="inlineStr">
        <is>
          <t>G828092803</t>
        </is>
      </c>
      <c r="F156" s="0" t="inlineStr">
        <is>
          <t>b464302c-b242-4533-b90c-1d70e0608fe7</t>
        </is>
      </c>
      <c r="G156" s="0" t="inlineStr">
        <is>
          <t>Minuman Soda</t>
        </is>
      </c>
      <c r="H156" s="0" t="inlineStr">
        <is>
          <t>52c89103-e2ae-442e-807d-9c40a7f939a3</t>
        </is>
      </c>
      <c r="I156" s="0" t="inlineStr">
        <is>
          <t>Float Vanilla</t>
        </is>
      </c>
      <c r="J156" s="0" t="inlineStr"/>
      <c r="K156" s="0" t="inlineStr"/>
      <c r="L156" s="0" t="inlineStr"/>
      <c r="M156" s="0" t="inlineStr"/>
      <c r="N156" s="0" t="inlineStr"/>
      <c r="O156" s="0" t="n">
        <v>0</v>
      </c>
      <c r="P156" s="0" t="n">
        <v>0</v>
      </c>
      <c r="Q156" s="0" t="n">
        <v>0</v>
      </c>
      <c r="R156" s="0" t="inlineStr">
        <is>
          <t>Available</t>
        </is>
      </c>
      <c r="S156" s="0" t="inlineStr">
        <is>
          <t>Show</t>
        </is>
      </c>
      <c r="W156" s="0" t="inlineStr"/>
      <c r="X156" s="0" t="inlineStr"/>
      <c r="Z156" s="168" t="n"/>
      <c r="AA156" s="0" t="n">
        <v>20000</v>
      </c>
      <c r="AB156" s="0" t="n">
        <v>20000</v>
      </c>
      <c r="AC156" s="0" t="inlineStr"/>
      <c r="AG156" s="168" t="n"/>
      <c r="AI156" s="168" t="inlineStr"/>
      <c r="AK156" s="0" t="inlineStr"/>
      <c r="AM156" s="168" t="inlineStr"/>
      <c r="AO156" s="168" t="n"/>
      <c r="AP156" s="0" t="inlineStr"/>
    </row>
    <row r="157">
      <c r="A157" s="0" t="inlineStr">
        <is>
          <t>GoFood</t>
        </is>
      </c>
      <c r="B157" s="0" t="inlineStr">
        <is>
          <t>Superfood (test)</t>
        </is>
      </c>
      <c r="C157" s="0" t="inlineStr">
        <is>
          <t>F</t>
        </is>
      </c>
      <c r="D157" s="0" t="inlineStr">
        <is>
          <t>https://gofood.link/a/G828092803</t>
        </is>
      </c>
      <c r="E157" s="0" t="inlineStr">
        <is>
          <t>G828092803</t>
        </is>
      </c>
      <c r="F157" s="0" t="inlineStr">
        <is>
          <t>b464302c-b242-4533-b90c-1d70e0608fe7</t>
        </is>
      </c>
      <c r="G157" s="0" t="inlineStr">
        <is>
          <t>Minuman Soda</t>
        </is>
      </c>
      <c r="H157" s="0" t="inlineStr">
        <is>
          <t>c6cdf7c5-db3b-43d2-8ef6-24526237ba03</t>
        </is>
      </c>
      <c r="I157" s="0" t="inlineStr">
        <is>
          <t>Root Beer Float</t>
        </is>
      </c>
      <c r="J157" s="0" t="inlineStr"/>
      <c r="K157" s="0" t="inlineStr"/>
      <c r="L157" s="0" t="inlineStr"/>
      <c r="M157" s="0" t="inlineStr"/>
      <c r="N157" s="0" t="inlineStr"/>
      <c r="O157" s="0" t="n">
        <v>0</v>
      </c>
      <c r="P157" s="0" t="n">
        <v>0</v>
      </c>
      <c r="Q157" s="0" t="n">
        <v>0</v>
      </c>
      <c r="R157" s="0" t="inlineStr">
        <is>
          <t>Available</t>
        </is>
      </c>
      <c r="S157" s="0" t="inlineStr">
        <is>
          <t>Show</t>
        </is>
      </c>
      <c r="W157" s="0" t="inlineStr"/>
      <c r="X157" s="0" t="inlineStr"/>
      <c r="Z157" s="168" t="n"/>
      <c r="AA157" s="0" t="n">
        <v>22000</v>
      </c>
      <c r="AB157" s="0" t="n">
        <v>22000</v>
      </c>
      <c r="AC157" s="0" t="inlineStr"/>
      <c r="AG157" s="168" t="n"/>
      <c r="AI157" s="168" t="inlineStr"/>
      <c r="AK157" s="0" t="inlineStr"/>
      <c r="AM157" s="168" t="inlineStr"/>
      <c r="AO157" s="168" t="n"/>
      <c r="AP157" s="0" t="inlineStr"/>
    </row>
    <row r="158">
      <c r="A158" s="0" t="inlineStr">
        <is>
          <t>GoFood</t>
        </is>
      </c>
      <c r="B158" s="0" t="inlineStr">
        <is>
          <t>Superfood (test)</t>
        </is>
      </c>
      <c r="C158" s="0" t="inlineStr">
        <is>
          <t>F</t>
        </is>
      </c>
      <c r="D158" s="0" t="inlineStr">
        <is>
          <t>https://gofood.link/a/G828092803</t>
        </is>
      </c>
      <c r="E158" s="0" t="inlineStr">
        <is>
          <t>G828092803</t>
        </is>
      </c>
      <c r="F158" s="0" t="inlineStr">
        <is>
          <t>35690b02-ea94-41af-899f-abc80565cd82</t>
        </is>
      </c>
      <c r="G158" s="0" t="inlineStr">
        <is>
          <t>Minuman Kekinian</t>
        </is>
      </c>
      <c r="H158" s="0" t="inlineStr">
        <is>
          <t>943571c8-9fdd-4638-abb7-67e1b6459b03</t>
        </is>
      </c>
      <c r="I158" s="0" t="inlineStr">
        <is>
          <t>Boba Milk Tea</t>
        </is>
      </c>
      <c r="J158" s="0" t="inlineStr"/>
      <c r="K158" s="0" t="inlineStr"/>
      <c r="L158" s="0" t="inlineStr"/>
      <c r="M158" s="0" t="inlineStr"/>
      <c r="N158" s="0" t="inlineStr"/>
      <c r="O158" s="0" t="n">
        <v>0</v>
      </c>
      <c r="P158" s="0" t="n">
        <v>0</v>
      </c>
      <c r="Q158" s="0" t="n">
        <v>0</v>
      </c>
      <c r="R158" s="0" t="inlineStr">
        <is>
          <t>Available</t>
        </is>
      </c>
      <c r="S158" s="0" t="inlineStr">
        <is>
          <t>Show</t>
        </is>
      </c>
      <c r="W158" s="0" t="inlineStr"/>
      <c r="X158" s="0" t="inlineStr"/>
      <c r="Z158" s="168" t="n"/>
      <c r="AA158" s="0" t="n">
        <v>22000</v>
      </c>
      <c r="AB158" s="0" t="n">
        <v>22000</v>
      </c>
      <c r="AC158" s="0" t="inlineStr"/>
      <c r="AG158" s="168" t="n"/>
      <c r="AI158" s="168" t="inlineStr"/>
      <c r="AK158" s="0" t="inlineStr"/>
      <c r="AM158" s="168" t="inlineStr"/>
      <c r="AO158" s="168" t="n"/>
      <c r="AP158" s="0" t="inlineStr"/>
    </row>
    <row r="159">
      <c r="A159" s="0" t="inlineStr">
        <is>
          <t>GoFood</t>
        </is>
      </c>
      <c r="B159" s="0" t="inlineStr">
        <is>
          <t>Superfood (test)</t>
        </is>
      </c>
      <c r="C159" s="0" t="inlineStr">
        <is>
          <t>F</t>
        </is>
      </c>
      <c r="D159" s="0" t="inlineStr">
        <is>
          <t>https://gofood.link/a/G828092803</t>
        </is>
      </c>
      <c r="E159" s="0" t="inlineStr">
        <is>
          <t>G828092803</t>
        </is>
      </c>
      <c r="F159" s="0" t="inlineStr">
        <is>
          <t>35690b02-ea94-41af-899f-abc80565cd82</t>
        </is>
      </c>
      <c r="G159" s="0" t="inlineStr">
        <is>
          <t>Minuman Kekinian</t>
        </is>
      </c>
      <c r="H159" s="0" t="inlineStr">
        <is>
          <t>a5488b4f-f50a-4b32-b4cf-3b995673a006</t>
        </is>
      </c>
      <c r="I159" s="0" t="inlineStr">
        <is>
          <t>Brown Sugar Boba</t>
        </is>
      </c>
      <c r="J159" s="0" t="inlineStr"/>
      <c r="K159" s="0" t="inlineStr"/>
      <c r="L159" s="0" t="inlineStr"/>
      <c r="M159" s="0" t="inlineStr"/>
      <c r="N159" s="0" t="inlineStr"/>
      <c r="O159" s="0" t="n">
        <v>0</v>
      </c>
      <c r="P159" s="0" t="n">
        <v>0</v>
      </c>
      <c r="Q159" s="0" t="n">
        <v>0</v>
      </c>
      <c r="R159" s="0" t="inlineStr">
        <is>
          <t>Available</t>
        </is>
      </c>
      <c r="S159" s="0" t="inlineStr">
        <is>
          <t>Show</t>
        </is>
      </c>
      <c r="W159" s="0" t="inlineStr"/>
      <c r="X159" s="0" t="inlineStr"/>
      <c r="Z159" s="168" t="n"/>
      <c r="AA159" s="0" t="n">
        <v>24000</v>
      </c>
      <c r="AB159" s="0" t="n">
        <v>24000</v>
      </c>
      <c r="AC159" s="0" t="inlineStr"/>
      <c r="AG159" s="168" t="n"/>
      <c r="AI159" s="168" t="inlineStr"/>
      <c r="AK159" s="0" t="inlineStr"/>
      <c r="AM159" s="168" t="inlineStr"/>
      <c r="AO159" s="168" t="n"/>
      <c r="AP159" s="0" t="inlineStr"/>
    </row>
    <row r="160">
      <c r="A160" s="0" t="inlineStr">
        <is>
          <t>GoFood</t>
        </is>
      </c>
      <c r="B160" s="0" t="inlineStr">
        <is>
          <t>Superfood (test)</t>
        </is>
      </c>
      <c r="C160" s="0" t="inlineStr">
        <is>
          <t>F</t>
        </is>
      </c>
      <c r="D160" s="0" t="inlineStr">
        <is>
          <t>https://gofood.link/a/G828092803</t>
        </is>
      </c>
      <c r="E160" s="0" t="inlineStr">
        <is>
          <t>G828092803</t>
        </is>
      </c>
      <c r="F160" s="0" t="inlineStr">
        <is>
          <t>35690b02-ea94-41af-899f-abc80565cd82</t>
        </is>
      </c>
      <c r="G160" s="0" t="inlineStr">
        <is>
          <t>Minuman Kekinian</t>
        </is>
      </c>
      <c r="H160" s="0" t="inlineStr">
        <is>
          <t>dd1e3053-bf96-4c89-be30-193c8835a5c9</t>
        </is>
      </c>
      <c r="I160" s="0" t="inlineStr">
        <is>
          <t>Taro Boba</t>
        </is>
      </c>
      <c r="J160" s="0" t="inlineStr"/>
      <c r="K160" s="0" t="inlineStr"/>
      <c r="L160" s="0" t="inlineStr"/>
      <c r="M160" s="0" t="inlineStr"/>
      <c r="N160" s="0" t="inlineStr"/>
      <c r="O160" s="0" t="n">
        <v>0</v>
      </c>
      <c r="P160" s="0" t="n">
        <v>0</v>
      </c>
      <c r="Q160" s="0" t="n">
        <v>0</v>
      </c>
      <c r="R160" s="0" t="inlineStr">
        <is>
          <t>Available</t>
        </is>
      </c>
      <c r="S160" s="0" t="inlineStr">
        <is>
          <t>Show</t>
        </is>
      </c>
      <c r="W160" s="0" t="inlineStr"/>
      <c r="X160" s="0" t="inlineStr"/>
      <c r="Z160" s="168" t="n"/>
      <c r="AA160" s="0" t="n">
        <v>24000</v>
      </c>
      <c r="AB160" s="0" t="n">
        <v>24000</v>
      </c>
      <c r="AC160" s="0" t="inlineStr"/>
      <c r="AG160" s="168" t="n"/>
      <c r="AI160" s="168" t="inlineStr"/>
      <c r="AK160" s="0" t="inlineStr"/>
      <c r="AM160" s="168" t="inlineStr"/>
      <c r="AO160" s="168" t="n"/>
      <c r="AP160" s="0" t="inlineStr"/>
    </row>
    <row r="161">
      <c r="A161" s="0" t="inlineStr">
        <is>
          <t>GoFood</t>
        </is>
      </c>
      <c r="B161" s="0" t="inlineStr">
        <is>
          <t>Superfood (test)</t>
        </is>
      </c>
      <c r="C161" s="0" t="inlineStr">
        <is>
          <t>F</t>
        </is>
      </c>
      <c r="D161" s="0" t="inlineStr">
        <is>
          <t>https://gofood.link/a/G828092803</t>
        </is>
      </c>
      <c r="E161" s="0" t="inlineStr">
        <is>
          <t>G828092803</t>
        </is>
      </c>
      <c r="F161" s="0" t="inlineStr">
        <is>
          <t>35690b02-ea94-41af-899f-abc80565cd82</t>
        </is>
      </c>
      <c r="G161" s="0" t="inlineStr">
        <is>
          <t>Minuman Kekinian</t>
        </is>
      </c>
      <c r="H161" s="0" t="inlineStr">
        <is>
          <t>a94284de-a62f-456c-8fe9-ea22256cbeec</t>
        </is>
      </c>
      <c r="I161" s="0" t="inlineStr">
        <is>
          <t>Matcha Latte</t>
        </is>
      </c>
      <c r="J161" s="0" t="inlineStr"/>
      <c r="K161" s="0" t="inlineStr"/>
      <c r="L161" s="0" t="inlineStr"/>
      <c r="M161" s="0" t="inlineStr"/>
      <c r="N161" s="0" t="inlineStr"/>
      <c r="O161" s="0" t="n">
        <v>0</v>
      </c>
      <c r="P161" s="0" t="n">
        <v>0</v>
      </c>
      <c r="Q161" s="0" t="n">
        <v>0</v>
      </c>
      <c r="R161" s="0" t="inlineStr">
        <is>
          <t>Available</t>
        </is>
      </c>
      <c r="S161" s="0" t="inlineStr">
        <is>
          <t>Show</t>
        </is>
      </c>
      <c r="W161" s="0" t="inlineStr"/>
      <c r="X161" s="0" t="inlineStr"/>
      <c r="Z161" s="168" t="n"/>
      <c r="AA161" s="0" t="n">
        <v>24000</v>
      </c>
      <c r="AB161" s="0" t="n">
        <v>24000</v>
      </c>
      <c r="AC161" s="0" t="inlineStr"/>
      <c r="AG161" s="168" t="n"/>
      <c r="AI161" s="168" t="inlineStr"/>
      <c r="AK161" s="0" t="inlineStr"/>
      <c r="AM161" s="168" t="inlineStr"/>
      <c r="AO161" s="168" t="n"/>
      <c r="AP161" s="0" t="inlineStr"/>
    </row>
    <row r="162">
      <c r="A162" s="0" t="inlineStr">
        <is>
          <t>GoFood</t>
        </is>
      </c>
      <c r="B162" s="0" t="inlineStr">
        <is>
          <t>Superfood (test)</t>
        </is>
      </c>
      <c r="C162" s="0" t="inlineStr">
        <is>
          <t>F</t>
        </is>
      </c>
      <c r="D162" s="0" t="inlineStr">
        <is>
          <t>https://gofood.link/a/G828092803</t>
        </is>
      </c>
      <c r="E162" s="0" t="inlineStr">
        <is>
          <t>G828092803</t>
        </is>
      </c>
      <c r="F162" s="0" t="inlineStr">
        <is>
          <t>35690b02-ea94-41af-899f-abc80565cd82</t>
        </is>
      </c>
      <c r="G162" s="0" t="inlineStr">
        <is>
          <t>Minuman Kekinian</t>
        </is>
      </c>
      <c r="H162" s="0" t="inlineStr">
        <is>
          <t>b19ccee1-dfba-4452-8b9f-67a06c1f7e21</t>
        </is>
      </c>
      <c r="I162" s="0" t="inlineStr">
        <is>
          <t>Red Velvet Latte</t>
        </is>
      </c>
      <c r="J162" s="0" t="inlineStr"/>
      <c r="K162" s="0" t="inlineStr"/>
      <c r="L162" s="0" t="inlineStr"/>
      <c r="M162" s="0" t="inlineStr"/>
      <c r="N162" s="0" t="inlineStr"/>
      <c r="O162" s="0" t="n">
        <v>0</v>
      </c>
      <c r="P162" s="0" t="n">
        <v>0</v>
      </c>
      <c r="Q162" s="0" t="n">
        <v>0</v>
      </c>
      <c r="R162" s="0" t="inlineStr">
        <is>
          <t>Available</t>
        </is>
      </c>
      <c r="S162" s="0" t="inlineStr">
        <is>
          <t>Show</t>
        </is>
      </c>
      <c r="W162" s="0" t="inlineStr"/>
      <c r="X162" s="0" t="inlineStr"/>
      <c r="Z162" s="168" t="n"/>
      <c r="AA162" s="0" t="n">
        <v>24000</v>
      </c>
      <c r="AB162" s="0" t="n">
        <v>24000</v>
      </c>
      <c r="AC162" s="0" t="inlineStr"/>
      <c r="AG162" s="168" t="n"/>
      <c r="AI162" s="168" t="inlineStr"/>
      <c r="AK162" s="0" t="inlineStr"/>
      <c r="AM162" s="168" t="inlineStr"/>
      <c r="AO162" s="168" t="n"/>
      <c r="AP162" s="0" t="inlineStr"/>
    </row>
    <row r="163">
      <c r="A163" s="0" t="inlineStr">
        <is>
          <t>GoFood</t>
        </is>
      </c>
      <c r="B163" s="0" t="inlineStr">
        <is>
          <t>Superfood (test)</t>
        </is>
      </c>
      <c r="C163" s="0" t="inlineStr">
        <is>
          <t>F</t>
        </is>
      </c>
      <c r="D163" s="0" t="inlineStr">
        <is>
          <t>https://gofood.link/a/G828092803</t>
        </is>
      </c>
      <c r="E163" s="0" t="inlineStr">
        <is>
          <t>G828092803</t>
        </is>
      </c>
      <c r="F163" s="0" t="inlineStr">
        <is>
          <t>41f9f452-f892-4175-ab5b-b12f258b6ccd</t>
        </is>
      </c>
      <c r="G163" s="0" t="inlineStr">
        <is>
          <t>Dessert</t>
        </is>
      </c>
      <c r="H163" s="0" t="inlineStr">
        <is>
          <t>40a5e66b-7d27-4491-96c0-3f3bf94844ba</t>
        </is>
      </c>
      <c r="I163" s="0" t="inlineStr">
        <is>
          <t>Es Krim Vanilla</t>
        </is>
      </c>
      <c r="J163" s="0" t="inlineStr"/>
      <c r="K163" s="0" t="inlineStr"/>
      <c r="L163" s="0" t="inlineStr"/>
      <c r="M163" s="0" t="inlineStr"/>
      <c r="N163" s="0" t="inlineStr"/>
      <c r="O163" s="0" t="n">
        <v>0</v>
      </c>
      <c r="P163" s="0" t="n">
        <v>0</v>
      </c>
      <c r="Q163" s="0" t="n">
        <v>0</v>
      </c>
      <c r="R163" s="0" t="inlineStr">
        <is>
          <t>Available</t>
        </is>
      </c>
      <c r="S163" s="0" t="inlineStr">
        <is>
          <t>Show</t>
        </is>
      </c>
      <c r="W163" s="0" t="inlineStr"/>
      <c r="X163" s="0" t="inlineStr"/>
      <c r="Z163" s="168" t="n"/>
      <c r="AA163" s="0" t="n">
        <v>14000</v>
      </c>
      <c r="AB163" s="0" t="n">
        <v>14000</v>
      </c>
      <c r="AC163" s="0" t="inlineStr"/>
      <c r="AG163" s="168" t="n"/>
      <c r="AI163" s="168" t="inlineStr"/>
      <c r="AK163" s="0" t="inlineStr"/>
      <c r="AM163" s="168" t="inlineStr"/>
      <c r="AO163" s="168" t="n"/>
      <c r="AP163" s="0" t="inlineStr"/>
    </row>
    <row r="164">
      <c r="A164" s="0" t="inlineStr">
        <is>
          <t>GoFood</t>
        </is>
      </c>
      <c r="B164" s="0" t="inlineStr">
        <is>
          <t>Superfood (test)</t>
        </is>
      </c>
      <c r="C164" s="0" t="inlineStr">
        <is>
          <t>F</t>
        </is>
      </c>
      <c r="D164" s="0" t="inlineStr">
        <is>
          <t>https://gofood.link/a/G828092803</t>
        </is>
      </c>
      <c r="E164" s="0" t="inlineStr">
        <is>
          <t>G828092803</t>
        </is>
      </c>
      <c r="F164" s="0" t="inlineStr">
        <is>
          <t>41f9f452-f892-4175-ab5b-b12f258b6ccd</t>
        </is>
      </c>
      <c r="G164" s="0" t="inlineStr">
        <is>
          <t>Dessert</t>
        </is>
      </c>
      <c r="H164" s="0" t="inlineStr">
        <is>
          <t>5e5f938d-aabc-4bcc-a471-35b3eccf2f92</t>
        </is>
      </c>
      <c r="I164" s="0" t="inlineStr">
        <is>
          <t>Es Krim Coklat</t>
        </is>
      </c>
      <c r="J164" s="0" t="inlineStr"/>
      <c r="K164" s="0" t="inlineStr"/>
      <c r="L164" s="0" t="inlineStr"/>
      <c r="M164" s="0" t="inlineStr"/>
      <c r="N164" s="0" t="inlineStr"/>
      <c r="O164" s="0" t="n">
        <v>0</v>
      </c>
      <c r="P164" s="0" t="n">
        <v>0</v>
      </c>
      <c r="Q164" s="0" t="n">
        <v>0</v>
      </c>
      <c r="R164" s="0" t="inlineStr">
        <is>
          <t>Available</t>
        </is>
      </c>
      <c r="S164" s="0" t="inlineStr">
        <is>
          <t>Show</t>
        </is>
      </c>
      <c r="W164" s="0" t="inlineStr"/>
      <c r="X164" s="0" t="inlineStr"/>
      <c r="Z164" s="168" t="n"/>
      <c r="AA164" s="0" t="n">
        <v>14000</v>
      </c>
      <c r="AB164" s="0" t="n">
        <v>14000</v>
      </c>
      <c r="AC164" s="0" t="inlineStr"/>
      <c r="AG164" s="168" t="n"/>
      <c r="AI164" s="168" t="inlineStr"/>
      <c r="AK164" s="0" t="inlineStr"/>
      <c r="AM164" s="168" t="inlineStr"/>
      <c r="AO164" s="168" t="n"/>
      <c r="AP164" s="0" t="inlineStr"/>
    </row>
    <row r="165">
      <c r="A165" s="0" t="inlineStr">
        <is>
          <t>GoFood</t>
        </is>
      </c>
      <c r="B165" s="0" t="inlineStr">
        <is>
          <t>Superfood (test)</t>
        </is>
      </c>
      <c r="C165" s="0" t="inlineStr">
        <is>
          <t>F</t>
        </is>
      </c>
      <c r="D165" s="0" t="inlineStr">
        <is>
          <t>https://gofood.link/a/G828092803</t>
        </is>
      </c>
      <c r="E165" s="0" t="inlineStr">
        <is>
          <t>G828092803</t>
        </is>
      </c>
      <c r="F165" s="0" t="inlineStr">
        <is>
          <t>41f9f452-f892-4175-ab5b-b12f258b6ccd</t>
        </is>
      </c>
      <c r="G165" s="0" t="inlineStr">
        <is>
          <t>Dessert</t>
        </is>
      </c>
      <c r="H165" s="0" t="inlineStr">
        <is>
          <t>19830b25-870e-46cb-b56f-1677269f98ef</t>
        </is>
      </c>
      <c r="I165" s="0" t="inlineStr">
        <is>
          <t>Puding Coklat</t>
        </is>
      </c>
      <c r="J165" s="0" t="inlineStr"/>
      <c r="K165" s="0" t="inlineStr"/>
      <c r="L165" s="0" t="inlineStr"/>
      <c r="M165" s="0" t="inlineStr"/>
      <c r="N165" s="0" t="inlineStr"/>
      <c r="O165" s="0" t="n">
        <v>0</v>
      </c>
      <c r="P165" s="0" t="n">
        <v>0</v>
      </c>
      <c r="Q165" s="0" t="n">
        <v>0</v>
      </c>
      <c r="R165" s="0" t="inlineStr">
        <is>
          <t>Available</t>
        </is>
      </c>
      <c r="S165" s="0" t="inlineStr">
        <is>
          <t>Show</t>
        </is>
      </c>
      <c r="W165" s="0" t="inlineStr"/>
      <c r="X165" s="0" t="inlineStr"/>
      <c r="Z165" s="168" t="n"/>
      <c r="AA165" s="0" t="n">
        <v>14000</v>
      </c>
      <c r="AB165" s="0" t="n">
        <v>14000</v>
      </c>
      <c r="AC165" s="0" t="inlineStr"/>
      <c r="AG165" s="168" t="n"/>
      <c r="AI165" s="168" t="inlineStr"/>
      <c r="AK165" s="0" t="inlineStr"/>
      <c r="AM165" s="168" t="inlineStr"/>
      <c r="AO165" s="168" t="n"/>
      <c r="AP165" s="0" t="inlineStr"/>
    </row>
    <row r="166">
      <c r="A166" s="0" t="inlineStr">
        <is>
          <t>GoFood</t>
        </is>
      </c>
      <c r="B166" s="0" t="inlineStr">
        <is>
          <t>Superfood (test)</t>
        </is>
      </c>
      <c r="C166" s="0" t="inlineStr">
        <is>
          <t>F</t>
        </is>
      </c>
      <c r="D166" s="0" t="inlineStr">
        <is>
          <t>https://gofood.link/a/G828092803</t>
        </is>
      </c>
      <c r="E166" s="0" t="inlineStr">
        <is>
          <t>G828092803</t>
        </is>
      </c>
      <c r="F166" s="0" t="inlineStr">
        <is>
          <t>41f9f452-f892-4175-ab5b-b12f258b6ccd</t>
        </is>
      </c>
      <c r="G166" s="0" t="inlineStr">
        <is>
          <t>Dessert</t>
        </is>
      </c>
      <c r="H166" s="0" t="inlineStr">
        <is>
          <t>d20792c8-d399-4b1c-a0e1-ce36ee654926</t>
        </is>
      </c>
      <c r="I166" s="0" t="inlineStr">
        <is>
          <t>Puding Mangga</t>
        </is>
      </c>
      <c r="J166" s="0" t="inlineStr"/>
      <c r="K166" s="0" t="inlineStr"/>
      <c r="L166" s="0" t="inlineStr"/>
      <c r="M166" s="0" t="inlineStr"/>
      <c r="N166" s="0" t="inlineStr"/>
      <c r="O166" s="0" t="n">
        <v>0</v>
      </c>
      <c r="P166" s="0" t="n">
        <v>0</v>
      </c>
      <c r="Q166" s="0" t="n">
        <v>0</v>
      </c>
      <c r="R166" s="0" t="inlineStr">
        <is>
          <t>Available</t>
        </is>
      </c>
      <c r="S166" s="0" t="inlineStr">
        <is>
          <t>Show</t>
        </is>
      </c>
      <c r="W166" s="0" t="inlineStr"/>
      <c r="X166" s="0" t="inlineStr"/>
      <c r="Z166" s="168" t="n"/>
      <c r="AA166" s="0" t="n">
        <v>14000</v>
      </c>
      <c r="AB166" s="0" t="n">
        <v>14000</v>
      </c>
      <c r="AC166" s="0" t="inlineStr"/>
      <c r="AG166" s="168" t="n"/>
      <c r="AI166" s="168" t="inlineStr"/>
      <c r="AK166" s="0" t="inlineStr"/>
      <c r="AM166" s="168" t="inlineStr"/>
      <c r="AO166" s="168" t="n"/>
      <c r="AP166" s="0" t="inlineStr"/>
    </row>
    <row r="167">
      <c r="A167" s="0" t="inlineStr">
        <is>
          <t>GoFood</t>
        </is>
      </c>
      <c r="B167" s="0" t="inlineStr">
        <is>
          <t>Superfood (test)</t>
        </is>
      </c>
      <c r="C167" s="0" t="inlineStr">
        <is>
          <t>F</t>
        </is>
      </c>
      <c r="D167" s="0" t="inlineStr">
        <is>
          <t>https://gofood.link/a/G828092803</t>
        </is>
      </c>
      <c r="E167" s="0" t="inlineStr">
        <is>
          <t>G828092803</t>
        </is>
      </c>
      <c r="F167" s="0" t="inlineStr">
        <is>
          <t>41f9f452-f892-4175-ab5b-b12f258b6ccd</t>
        </is>
      </c>
      <c r="G167" s="0" t="inlineStr">
        <is>
          <t>Dessert</t>
        </is>
      </c>
      <c r="H167" s="0" t="inlineStr">
        <is>
          <t>735e7d12-fa96-4c30-ad3d-a85fa4278583</t>
        </is>
      </c>
      <c r="I167" s="0" t="inlineStr">
        <is>
          <t>Brownies Coklat</t>
        </is>
      </c>
      <c r="J167" s="0" t="inlineStr"/>
      <c r="K167" s="0" t="inlineStr"/>
      <c r="L167" s="0" t="inlineStr"/>
      <c r="M167" s="0" t="inlineStr"/>
      <c r="N167" s="0" t="inlineStr"/>
      <c r="O167" s="0" t="n">
        <v>0</v>
      </c>
      <c r="P167" s="0" t="n">
        <v>0</v>
      </c>
      <c r="Q167" s="0" t="n">
        <v>0</v>
      </c>
      <c r="R167" s="0" t="inlineStr">
        <is>
          <t>Available</t>
        </is>
      </c>
      <c r="S167" s="0" t="inlineStr">
        <is>
          <t>Show</t>
        </is>
      </c>
      <c r="W167" s="0" t="inlineStr"/>
      <c r="X167" s="0" t="inlineStr"/>
      <c r="Z167" s="168" t="n"/>
      <c r="AA167" s="0" t="n">
        <v>17000</v>
      </c>
      <c r="AB167" s="0" t="n">
        <v>17000</v>
      </c>
      <c r="AC167" s="0" t="inlineStr"/>
      <c r="AG167" s="168" t="n"/>
      <c r="AI167" s="168" t="inlineStr"/>
      <c r="AK167" s="0" t="inlineStr"/>
      <c r="AM167" s="168" t="inlineStr"/>
      <c r="AO167" s="168" t="n"/>
      <c r="AP167" s="0" t="inlineStr"/>
    </row>
    <row r="168">
      <c r="A168" s="0" t="inlineStr">
        <is>
          <t>GoFood</t>
        </is>
      </c>
      <c r="B168" s="0" t="inlineStr">
        <is>
          <t>Superfood (test)</t>
        </is>
      </c>
      <c r="C168" s="0" t="inlineStr">
        <is>
          <t>F</t>
        </is>
      </c>
      <c r="D168" s="0" t="inlineStr">
        <is>
          <t>https://gofood.link/a/G828092803</t>
        </is>
      </c>
      <c r="E168" s="0" t="inlineStr">
        <is>
          <t>G828092803</t>
        </is>
      </c>
      <c r="F168" s="0" t="inlineStr">
        <is>
          <t>41f9f452-f892-4175-ab5b-b12f258b6ccd</t>
        </is>
      </c>
      <c r="G168" s="0" t="inlineStr">
        <is>
          <t>Dessert</t>
        </is>
      </c>
      <c r="H168" s="0" t="inlineStr">
        <is>
          <t>40cb9350-bb66-4485-a302-cb82ac3975fb</t>
        </is>
      </c>
      <c r="I168" s="0" t="inlineStr">
        <is>
          <t>Waffle Coklat</t>
        </is>
      </c>
      <c r="J168" s="0" t="inlineStr"/>
      <c r="K168" s="0" t="inlineStr"/>
      <c r="L168" s="0" t="inlineStr"/>
      <c r="M168" s="0" t="inlineStr"/>
      <c r="N168" s="0" t="inlineStr"/>
      <c r="O168" s="0" t="n">
        <v>0</v>
      </c>
      <c r="P168" s="0" t="n">
        <v>0</v>
      </c>
      <c r="Q168" s="0" t="n">
        <v>0</v>
      </c>
      <c r="R168" s="0" t="inlineStr">
        <is>
          <t>Available</t>
        </is>
      </c>
      <c r="S168" s="0" t="inlineStr">
        <is>
          <t>Show</t>
        </is>
      </c>
      <c r="W168" s="0" t="inlineStr"/>
      <c r="X168" s="0" t="inlineStr"/>
      <c r="Z168" s="168" t="n"/>
      <c r="AA168" s="0" t="n">
        <v>22000</v>
      </c>
      <c r="AB168" s="0" t="n">
        <v>22000</v>
      </c>
      <c r="AC168" s="0" t="inlineStr"/>
      <c r="AG168" s="168" t="n"/>
      <c r="AI168" s="168" t="inlineStr"/>
      <c r="AK168" s="0" t="inlineStr"/>
      <c r="AM168" s="168" t="inlineStr"/>
      <c r="AO168" s="168" t="n"/>
      <c r="AP168" s="0" t="inlineStr"/>
    </row>
    <row r="169">
      <c r="A169" s="0" t="inlineStr">
        <is>
          <t>GoFood</t>
        </is>
      </c>
      <c r="B169" s="0" t="inlineStr">
        <is>
          <t>Superfood (test)</t>
        </is>
      </c>
      <c r="C169" s="0" t="inlineStr">
        <is>
          <t>F</t>
        </is>
      </c>
      <c r="D169" s="0" t="inlineStr">
        <is>
          <t>https://gofood.link/a/G828092803</t>
        </is>
      </c>
      <c r="E169" s="0" t="inlineStr">
        <is>
          <t>G828092803</t>
        </is>
      </c>
      <c r="F169" s="0" t="inlineStr">
        <is>
          <t>41f9f452-f892-4175-ab5b-b12f258b6ccd</t>
        </is>
      </c>
      <c r="G169" s="0" t="inlineStr">
        <is>
          <t>Dessert</t>
        </is>
      </c>
      <c r="H169" s="0" t="inlineStr">
        <is>
          <t>aca80cc6-d042-4f78-b836-b4cbf728550f</t>
        </is>
      </c>
      <c r="I169" s="0" t="inlineStr">
        <is>
          <t>Pancake Original</t>
        </is>
      </c>
      <c r="J169" s="0" t="inlineStr"/>
      <c r="K169" s="0" t="inlineStr"/>
      <c r="L169" s="0" t="inlineStr"/>
      <c r="M169" s="0" t="inlineStr"/>
      <c r="N169" s="0" t="inlineStr"/>
      <c r="O169" s="0" t="n">
        <v>0</v>
      </c>
      <c r="P169" s="0" t="n">
        <v>0</v>
      </c>
      <c r="Q169" s="0" t="n">
        <v>0</v>
      </c>
      <c r="R169" s="0" t="inlineStr">
        <is>
          <t>Available</t>
        </is>
      </c>
      <c r="S169" s="0" t="inlineStr">
        <is>
          <t>Show</t>
        </is>
      </c>
      <c r="W169" s="0" t="inlineStr"/>
      <c r="X169" s="0" t="inlineStr"/>
      <c r="Z169" s="168" t="n"/>
      <c r="AA169" s="0" t="n">
        <v>20000</v>
      </c>
      <c r="AB169" s="0" t="n">
        <v>20000</v>
      </c>
      <c r="AC169" s="0" t="inlineStr"/>
      <c r="AG169" s="168" t="n"/>
      <c r="AI169" s="168" t="inlineStr"/>
      <c r="AK169" s="0" t="inlineStr"/>
      <c r="AM169" s="168" t="inlineStr"/>
      <c r="AO169" s="168" t="n"/>
      <c r="AP169" s="0" t="inlineStr"/>
    </row>
    <row r="170">
      <c r="A170" s="0" t="inlineStr">
        <is>
          <t>GoFood</t>
        </is>
      </c>
      <c r="B170" s="0" t="inlineStr">
        <is>
          <t>Superfood (test)</t>
        </is>
      </c>
      <c r="C170" s="0" t="inlineStr">
        <is>
          <t>F</t>
        </is>
      </c>
      <c r="D170" s="0" t="inlineStr">
        <is>
          <t>https://gofood.link/a/G828092803</t>
        </is>
      </c>
      <c r="E170" s="0" t="inlineStr">
        <is>
          <t>G828092803</t>
        </is>
      </c>
      <c r="F170" s="0" t="inlineStr">
        <is>
          <t>41f9f452-f892-4175-ab5b-b12f258b6ccd</t>
        </is>
      </c>
      <c r="G170" s="0" t="inlineStr">
        <is>
          <t>Dessert</t>
        </is>
      </c>
      <c r="H170" s="0" t="inlineStr">
        <is>
          <t>d09a6ca4-632b-4f2f-b87f-d846ffc02b5c</t>
        </is>
      </c>
      <c r="I170" s="0" t="inlineStr">
        <is>
          <t>Churros</t>
        </is>
      </c>
      <c r="J170" s="0" t="inlineStr"/>
      <c r="K170" s="0" t="inlineStr"/>
      <c r="L170" s="0" t="inlineStr"/>
      <c r="M170" s="0" t="inlineStr"/>
      <c r="N170" s="0" t="inlineStr"/>
      <c r="O170" s="0" t="n">
        <v>0</v>
      </c>
      <c r="P170" s="0" t="n">
        <v>0</v>
      </c>
      <c r="Q170" s="0" t="n">
        <v>0</v>
      </c>
      <c r="R170" s="0" t="inlineStr">
        <is>
          <t>Available</t>
        </is>
      </c>
      <c r="S170" s="0" t="inlineStr">
        <is>
          <t>Show</t>
        </is>
      </c>
      <c r="W170" s="0" t="inlineStr"/>
      <c r="X170" s="0" t="inlineStr"/>
      <c r="Z170" s="168" t="n"/>
      <c r="AA170" s="0" t="n">
        <v>17000</v>
      </c>
      <c r="AB170" s="0" t="n">
        <v>17000</v>
      </c>
      <c r="AC170" s="0" t="inlineStr"/>
      <c r="AG170" s="168" t="n"/>
      <c r="AI170" s="168" t="inlineStr"/>
      <c r="AK170" s="0" t="inlineStr"/>
      <c r="AM170" s="168" t="inlineStr"/>
      <c r="AO170" s="168" t="n"/>
      <c r="AP170" s="0" t="inlineStr"/>
    </row>
    <row r="171">
      <c r="A171" s="0" t="inlineStr">
        <is>
          <t>GoFood</t>
        </is>
      </c>
      <c r="B171" s="0" t="inlineStr">
        <is>
          <t>Superfood (test)</t>
        </is>
      </c>
      <c r="C171" s="0" t="inlineStr">
        <is>
          <t>F</t>
        </is>
      </c>
      <c r="D171" s="0" t="inlineStr">
        <is>
          <t>https://gofood.link/a/G828092803</t>
        </is>
      </c>
      <c r="E171" s="0" t="inlineStr">
        <is>
          <t>G828092803</t>
        </is>
      </c>
      <c r="F171" s="0" t="inlineStr">
        <is>
          <t>41f9f452-f892-4175-ab5b-b12f258b6ccd</t>
        </is>
      </c>
      <c r="G171" s="0" t="inlineStr">
        <is>
          <t>Dessert</t>
        </is>
      </c>
      <c r="H171" s="0" t="inlineStr">
        <is>
          <t>8b4e8104-e7de-4a93-9943-513b4cf19898</t>
        </is>
      </c>
      <c r="I171" s="0" t="inlineStr">
        <is>
          <t>Cheesecake</t>
        </is>
      </c>
      <c r="J171" s="0" t="inlineStr"/>
      <c r="K171" s="0" t="inlineStr"/>
      <c r="L171" s="0" t="inlineStr"/>
      <c r="M171" s="0" t="inlineStr"/>
      <c r="N171" s="0" t="inlineStr"/>
      <c r="O171" s="0" t="n">
        <v>0</v>
      </c>
      <c r="P171" s="0" t="n">
        <v>0</v>
      </c>
      <c r="Q171" s="0" t="n">
        <v>0</v>
      </c>
      <c r="R171" s="0" t="inlineStr">
        <is>
          <t>Available</t>
        </is>
      </c>
      <c r="S171" s="0" t="inlineStr">
        <is>
          <t>Show</t>
        </is>
      </c>
      <c r="W171" s="0" t="inlineStr"/>
      <c r="X171" s="0" t="inlineStr"/>
      <c r="Z171" s="168" t="n"/>
      <c r="AA171" s="0" t="n">
        <v>24000</v>
      </c>
      <c r="AB171" s="0" t="n">
        <v>24000</v>
      </c>
      <c r="AC171" s="0" t="inlineStr"/>
      <c r="AG171" s="168" t="n"/>
      <c r="AI171" s="168" t="inlineStr"/>
      <c r="AK171" s="0" t="inlineStr"/>
      <c r="AM171" s="168" t="inlineStr"/>
      <c r="AO171" s="168" t="n"/>
      <c r="AP171" s="0" t="inlineStr"/>
    </row>
    <row r="172">
      <c r="A172" s="0" t="inlineStr">
        <is>
          <t>GoFood</t>
        </is>
      </c>
      <c r="B172" s="0" t="inlineStr">
        <is>
          <t>Superfood (test)</t>
        </is>
      </c>
      <c r="C172" s="0" t="inlineStr">
        <is>
          <t>F</t>
        </is>
      </c>
      <c r="D172" s="0" t="inlineStr">
        <is>
          <t>https://gofood.link/a/G828092803</t>
        </is>
      </c>
      <c r="E172" s="0" t="inlineStr">
        <is>
          <t>G828092803</t>
        </is>
      </c>
      <c r="F172" s="0" t="inlineStr">
        <is>
          <t>41f9f452-f892-4175-ab5b-b12f258b6ccd</t>
        </is>
      </c>
      <c r="G172" s="0" t="inlineStr">
        <is>
          <t>Dessert</t>
        </is>
      </c>
      <c r="H172" s="0" t="inlineStr">
        <is>
          <t>150f21cb-dcb2-43b8-a1dc-b120804facba</t>
        </is>
      </c>
      <c r="I172" s="0" t="inlineStr">
        <is>
          <t>Tiramisu</t>
        </is>
      </c>
      <c r="J172" s="0" t="inlineStr"/>
      <c r="K172" s="0" t="inlineStr"/>
      <c r="L172" s="0" t="inlineStr"/>
      <c r="M172" s="0" t="inlineStr"/>
      <c r="N172" s="0" t="inlineStr"/>
      <c r="O172" s="0" t="n">
        <v>0</v>
      </c>
      <c r="P172" s="0" t="n">
        <v>0</v>
      </c>
      <c r="Q172" s="0" t="n">
        <v>0</v>
      </c>
      <c r="R172" s="0" t="inlineStr">
        <is>
          <t>Available</t>
        </is>
      </c>
      <c r="S172" s="0" t="inlineStr">
        <is>
          <t>Show</t>
        </is>
      </c>
      <c r="W172" s="0" t="inlineStr"/>
      <c r="X172" s="0" t="inlineStr"/>
      <c r="Z172" s="168" t="n"/>
      <c r="AA172" s="0" t="n">
        <v>27000</v>
      </c>
      <c r="AB172" s="0" t="n">
        <v>27000</v>
      </c>
      <c r="AC172" s="0" t="inlineStr"/>
      <c r="AG172" s="168" t="n"/>
      <c r="AI172" s="168" t="inlineStr"/>
      <c r="AK172" s="0" t="inlineStr"/>
      <c r="AM172" s="168" t="inlineStr"/>
      <c r="AO172" s="168" t="n"/>
      <c r="AP172" s="0" t="inlineStr"/>
    </row>
    <row r="173">
      <c r="A173" s="0" t="inlineStr">
        <is>
          <t>GoFood</t>
        </is>
      </c>
      <c r="B173" s="0" t="inlineStr">
        <is>
          <t>Superfood (test)</t>
        </is>
      </c>
      <c r="C173" s="0" t="inlineStr">
        <is>
          <t>F</t>
        </is>
      </c>
      <c r="D173" s="0" t="inlineStr">
        <is>
          <t>https://gofood.link/a/G828092803</t>
        </is>
      </c>
      <c r="E173" s="0" t="inlineStr">
        <is>
          <t>G828092803</t>
        </is>
      </c>
      <c r="F173" s="0" t="inlineStr">
        <is>
          <t>afc3f97f-0619-4036-8ded-a681d432f5e4</t>
        </is>
      </c>
      <c r="G173" s="0" t="inlineStr">
        <is>
          <t>Pizza</t>
        </is>
      </c>
      <c r="H173" s="0" t="inlineStr">
        <is>
          <t>a4f90f92-52c3-4474-a922-947ba4612eb4</t>
        </is>
      </c>
      <c r="I173" s="0" t="inlineStr">
        <is>
          <t>Pizza Margherita</t>
        </is>
      </c>
      <c r="J173" s="0" t="inlineStr"/>
      <c r="K173" s="0" t="inlineStr"/>
      <c r="L173" s="0" t="inlineStr"/>
      <c r="M173" s="0" t="inlineStr"/>
      <c r="N173" s="0" t="inlineStr"/>
      <c r="O173" s="0" t="n">
        <v>0</v>
      </c>
      <c r="P173" s="0" t="n">
        <v>0</v>
      </c>
      <c r="Q173" s="0" t="n">
        <v>0</v>
      </c>
      <c r="R173" s="0" t="inlineStr">
        <is>
          <t>Available</t>
        </is>
      </c>
      <c r="S173" s="0" t="inlineStr">
        <is>
          <t>Show</t>
        </is>
      </c>
      <c r="W173" s="0" t="inlineStr"/>
      <c r="X173" s="0" t="inlineStr"/>
      <c r="Z173" s="168" t="n"/>
      <c r="AA173" s="0" t="n">
        <v>37000</v>
      </c>
      <c r="AB173" s="0" t="n">
        <v>37000</v>
      </c>
      <c r="AC173" s="0" t="inlineStr"/>
      <c r="AG173" s="168" t="n"/>
      <c r="AI173" s="168" t="inlineStr"/>
      <c r="AK173" s="0" t="inlineStr"/>
      <c r="AM173" s="168" t="inlineStr"/>
      <c r="AO173" s="168" t="n"/>
      <c r="AP173" s="0" t="inlineStr"/>
    </row>
    <row r="174">
      <c r="A174" s="0" t="inlineStr">
        <is>
          <t>GoFood</t>
        </is>
      </c>
      <c r="B174" s="0" t="inlineStr">
        <is>
          <t>Superfood (test)</t>
        </is>
      </c>
      <c r="C174" s="0" t="inlineStr">
        <is>
          <t>F</t>
        </is>
      </c>
      <c r="D174" s="0" t="inlineStr">
        <is>
          <t>https://gofood.link/a/G828092803</t>
        </is>
      </c>
      <c r="E174" s="0" t="inlineStr">
        <is>
          <t>G828092803</t>
        </is>
      </c>
      <c r="F174" s="0" t="inlineStr">
        <is>
          <t>afc3f97f-0619-4036-8ded-a681d432f5e4</t>
        </is>
      </c>
      <c r="G174" s="0" t="inlineStr">
        <is>
          <t>Pizza</t>
        </is>
      </c>
      <c r="H174" s="0" t="inlineStr">
        <is>
          <t>96f558cf-445a-4dd6-b780-5bd0f2986f2d</t>
        </is>
      </c>
      <c r="I174" s="0" t="inlineStr">
        <is>
          <t>Pizza Pepperoni</t>
        </is>
      </c>
      <c r="J174" s="0" t="inlineStr"/>
      <c r="K174" s="0" t="inlineStr"/>
      <c r="L174" s="0" t="inlineStr"/>
      <c r="M174" s="0" t="inlineStr"/>
      <c r="N174" s="0" t="inlineStr"/>
      <c r="O174" s="0" t="n">
        <v>0</v>
      </c>
      <c r="P174" s="0" t="n">
        <v>0</v>
      </c>
      <c r="Q174" s="0" t="n">
        <v>0</v>
      </c>
      <c r="R174" s="0" t="inlineStr">
        <is>
          <t>Available</t>
        </is>
      </c>
      <c r="S174" s="0" t="inlineStr">
        <is>
          <t>Show</t>
        </is>
      </c>
      <c r="W174" s="0" t="inlineStr"/>
      <c r="X174" s="0" t="inlineStr"/>
      <c r="Z174" s="168" t="n"/>
      <c r="AA174" s="0" t="n">
        <v>42000</v>
      </c>
      <c r="AB174" s="0" t="n">
        <v>42000</v>
      </c>
      <c r="AC174" s="0" t="inlineStr"/>
      <c r="AG174" s="168" t="n"/>
      <c r="AI174" s="168" t="inlineStr"/>
      <c r="AK174" s="0" t="inlineStr"/>
      <c r="AM174" s="168" t="inlineStr"/>
      <c r="AO174" s="168" t="n"/>
      <c r="AP174" s="0" t="inlineStr"/>
    </row>
    <row r="175">
      <c r="A175" s="0" t="inlineStr">
        <is>
          <t>GoFood</t>
        </is>
      </c>
      <c r="B175" s="0" t="inlineStr">
        <is>
          <t>Superfood (test)</t>
        </is>
      </c>
      <c r="C175" s="0" t="inlineStr">
        <is>
          <t>F</t>
        </is>
      </c>
      <c r="D175" s="0" t="inlineStr">
        <is>
          <t>https://gofood.link/a/G828092803</t>
        </is>
      </c>
      <c r="E175" s="0" t="inlineStr">
        <is>
          <t>G828092803</t>
        </is>
      </c>
      <c r="F175" s="0" t="inlineStr">
        <is>
          <t>afc3f97f-0619-4036-8ded-a681d432f5e4</t>
        </is>
      </c>
      <c r="G175" s="0" t="inlineStr">
        <is>
          <t>Pizza</t>
        </is>
      </c>
      <c r="H175" s="0" t="inlineStr">
        <is>
          <t>bbfdef31-7e2b-40bc-930b-fcf107831d7f</t>
        </is>
      </c>
      <c r="I175" s="0" t="inlineStr">
        <is>
          <t>Pizza Ayam BBQ</t>
        </is>
      </c>
      <c r="J175" s="0" t="inlineStr"/>
      <c r="K175" s="0" t="inlineStr"/>
      <c r="L175" s="0" t="inlineStr"/>
      <c r="M175" s="0" t="inlineStr"/>
      <c r="N175" s="0" t="inlineStr"/>
      <c r="O175" s="0" t="n">
        <v>0</v>
      </c>
      <c r="P175" s="0" t="n">
        <v>0</v>
      </c>
      <c r="Q175" s="0" t="n">
        <v>0</v>
      </c>
      <c r="R175" s="0" t="inlineStr">
        <is>
          <t>Available</t>
        </is>
      </c>
      <c r="S175" s="0" t="inlineStr">
        <is>
          <t>Show</t>
        </is>
      </c>
      <c r="W175" s="0" t="inlineStr"/>
      <c r="X175" s="0" t="inlineStr"/>
      <c r="Z175" s="168" t="n"/>
      <c r="AA175" s="0" t="n">
        <v>42000</v>
      </c>
      <c r="AB175" s="0" t="n">
        <v>42000</v>
      </c>
      <c r="AC175" s="0" t="inlineStr"/>
      <c r="AG175" s="168" t="n"/>
      <c r="AI175" s="168" t="inlineStr"/>
      <c r="AK175" s="0" t="inlineStr"/>
      <c r="AM175" s="168" t="inlineStr"/>
      <c r="AO175" s="168" t="n"/>
      <c r="AP175" s="0" t="inlineStr"/>
    </row>
    <row r="176">
      <c r="A176" s="0" t="inlineStr">
        <is>
          <t>GoFood</t>
        </is>
      </c>
      <c r="B176" s="0" t="inlineStr">
        <is>
          <t>Superfood (test)</t>
        </is>
      </c>
      <c r="C176" s="0" t="inlineStr">
        <is>
          <t>F</t>
        </is>
      </c>
      <c r="D176" s="0" t="inlineStr">
        <is>
          <t>https://gofood.link/a/G828092803</t>
        </is>
      </c>
      <c r="E176" s="0" t="inlineStr">
        <is>
          <t>G828092803</t>
        </is>
      </c>
      <c r="F176" s="0" t="inlineStr">
        <is>
          <t>afc3f97f-0619-4036-8ded-a681d432f5e4</t>
        </is>
      </c>
      <c r="G176" s="0" t="inlineStr">
        <is>
          <t>Pizza</t>
        </is>
      </c>
      <c r="H176" s="0" t="inlineStr">
        <is>
          <t>7137f665-3ab1-4669-a141-f4e479790789</t>
        </is>
      </c>
      <c r="I176" s="0" t="inlineStr">
        <is>
          <t>Pizza Sosis Keju</t>
        </is>
      </c>
      <c r="J176" s="0" t="inlineStr"/>
      <c r="K176" s="0" t="inlineStr"/>
      <c r="L176" s="0" t="inlineStr"/>
      <c r="M176" s="0" t="inlineStr"/>
      <c r="N176" s="0" t="inlineStr"/>
      <c r="O176" s="0" t="n">
        <v>0</v>
      </c>
      <c r="P176" s="0" t="n">
        <v>0</v>
      </c>
      <c r="Q176" s="0" t="n">
        <v>0</v>
      </c>
      <c r="R176" s="0" t="inlineStr">
        <is>
          <t>Available</t>
        </is>
      </c>
      <c r="S176" s="0" t="inlineStr">
        <is>
          <t>Show</t>
        </is>
      </c>
      <c r="W176" s="0" t="inlineStr"/>
      <c r="X176" s="0" t="inlineStr"/>
      <c r="Z176" s="168" t="n"/>
      <c r="AA176" s="0" t="n">
        <v>37000</v>
      </c>
      <c r="AB176" s="0" t="n">
        <v>37000</v>
      </c>
      <c r="AC176" s="0" t="inlineStr"/>
      <c r="AG176" s="168" t="n"/>
      <c r="AI176" s="168" t="inlineStr"/>
      <c r="AK176" s="0" t="inlineStr"/>
      <c r="AM176" s="168" t="inlineStr"/>
      <c r="AO176" s="168" t="n"/>
      <c r="AP176" s="0" t="inlineStr"/>
    </row>
    <row r="177">
      <c r="A177" s="0" t="inlineStr">
        <is>
          <t>GoFood</t>
        </is>
      </c>
      <c r="B177" s="0" t="inlineStr">
        <is>
          <t>Superfood (test)</t>
        </is>
      </c>
      <c r="C177" s="0" t="inlineStr">
        <is>
          <t>F</t>
        </is>
      </c>
      <c r="D177" s="0" t="inlineStr">
        <is>
          <t>https://gofood.link/a/G828092803</t>
        </is>
      </c>
      <c r="E177" s="0" t="inlineStr">
        <is>
          <t>G828092803</t>
        </is>
      </c>
      <c r="F177" s="0" t="inlineStr">
        <is>
          <t>43a1ecd9-7bb4-4b73-bb2f-f7a53ee70e90</t>
        </is>
      </c>
      <c r="G177" s="0" t="inlineStr">
        <is>
          <t>Camilan Manis</t>
        </is>
      </c>
      <c r="H177" s="0" t="inlineStr">
        <is>
          <t>27c5639b-0c3c-4017-81dc-99cc8602e87b</t>
        </is>
      </c>
      <c r="I177" s="0" t="inlineStr">
        <is>
          <t>Klepon</t>
        </is>
      </c>
      <c r="J177" s="0" t="inlineStr"/>
      <c r="K177" s="0" t="inlineStr"/>
      <c r="L177" s="0" t="inlineStr"/>
      <c r="M177" s="0" t="inlineStr"/>
      <c r="N177" s="0" t="inlineStr"/>
      <c r="O177" s="0" t="n">
        <v>0</v>
      </c>
      <c r="P177" s="0" t="n">
        <v>0</v>
      </c>
      <c r="Q177" s="0" t="n">
        <v>0</v>
      </c>
      <c r="R177" s="0" t="inlineStr">
        <is>
          <t>Available</t>
        </is>
      </c>
      <c r="S177" s="0" t="inlineStr">
        <is>
          <t>Show</t>
        </is>
      </c>
      <c r="W177" s="0" t="inlineStr"/>
      <c r="X177" s="0" t="inlineStr"/>
      <c r="Z177" s="168" t="n"/>
      <c r="AA177" s="0" t="n">
        <v>12000</v>
      </c>
      <c r="AB177" s="0" t="n">
        <v>12000</v>
      </c>
      <c r="AC177" s="0" t="inlineStr"/>
      <c r="AG177" s="168" t="n"/>
      <c r="AI177" s="168" t="inlineStr"/>
      <c r="AK177" s="0" t="inlineStr"/>
      <c r="AM177" s="168" t="inlineStr"/>
      <c r="AO177" s="168" t="n"/>
      <c r="AP177" s="0" t="inlineStr"/>
    </row>
    <row r="178">
      <c r="A178" s="0" t="inlineStr">
        <is>
          <t>GoFood</t>
        </is>
      </c>
      <c r="B178" s="0" t="inlineStr">
        <is>
          <t>Superfood (test)</t>
        </is>
      </c>
      <c r="C178" s="0" t="inlineStr">
        <is>
          <t>F</t>
        </is>
      </c>
      <c r="D178" s="0" t="inlineStr">
        <is>
          <t>https://gofood.link/a/G828092803</t>
        </is>
      </c>
      <c r="E178" s="0" t="inlineStr">
        <is>
          <t>G828092803</t>
        </is>
      </c>
      <c r="F178" s="0" t="inlineStr">
        <is>
          <t>43a1ecd9-7bb4-4b73-bb2f-f7a53ee70e90</t>
        </is>
      </c>
      <c r="G178" s="0" t="inlineStr">
        <is>
          <t>Camilan Manis</t>
        </is>
      </c>
      <c r="H178" s="0" t="inlineStr">
        <is>
          <t>7264499f-23d1-4143-b3a9-5ae6ed9c6fa3</t>
        </is>
      </c>
      <c r="I178" s="0" t="inlineStr">
        <is>
          <t>Onde-Onde</t>
        </is>
      </c>
      <c r="J178" s="0" t="inlineStr"/>
      <c r="K178" s="0" t="inlineStr"/>
      <c r="L178" s="0" t="inlineStr"/>
      <c r="M178" s="0" t="inlineStr"/>
      <c r="N178" s="0" t="inlineStr"/>
      <c r="O178" s="0" t="n">
        <v>0</v>
      </c>
      <c r="P178" s="0" t="n">
        <v>0</v>
      </c>
      <c r="Q178" s="0" t="n">
        <v>0</v>
      </c>
      <c r="R178" s="0" t="inlineStr">
        <is>
          <t>Available</t>
        </is>
      </c>
      <c r="S178" s="0" t="inlineStr">
        <is>
          <t>Show</t>
        </is>
      </c>
      <c r="W178" s="0" t="inlineStr"/>
      <c r="X178" s="0" t="inlineStr"/>
      <c r="Z178" s="168" t="n"/>
      <c r="AA178" s="0" t="n">
        <v>12000</v>
      </c>
      <c r="AB178" s="0" t="n">
        <v>12000</v>
      </c>
      <c r="AC178" s="0" t="inlineStr"/>
      <c r="AG178" s="168" t="n"/>
      <c r="AI178" s="168" t="inlineStr"/>
      <c r="AK178" s="0" t="inlineStr"/>
      <c r="AM178" s="168" t="inlineStr"/>
      <c r="AO178" s="168" t="n"/>
      <c r="AP178" s="0" t="inlineStr"/>
    </row>
    <row r="179">
      <c r="A179" s="0" t="inlineStr">
        <is>
          <t>GoFood</t>
        </is>
      </c>
      <c r="B179" s="0" t="inlineStr">
        <is>
          <t>Superfood (test)</t>
        </is>
      </c>
      <c r="C179" s="0" t="inlineStr">
        <is>
          <t>F</t>
        </is>
      </c>
      <c r="D179" s="0" t="inlineStr">
        <is>
          <t>https://gofood.link/a/G828092803</t>
        </is>
      </c>
      <c r="E179" s="0" t="inlineStr">
        <is>
          <t>G828092803</t>
        </is>
      </c>
      <c r="F179" s="0" t="inlineStr">
        <is>
          <t>43a1ecd9-7bb4-4b73-bb2f-f7a53ee70e90</t>
        </is>
      </c>
      <c r="G179" s="0" t="inlineStr">
        <is>
          <t>Camilan Manis</t>
        </is>
      </c>
      <c r="H179" s="0" t="inlineStr">
        <is>
          <t>8404a309-2acc-4495-bebd-407bea3c421c</t>
        </is>
      </c>
      <c r="I179" s="0" t="inlineStr">
        <is>
          <t>Kue Lapis</t>
        </is>
      </c>
      <c r="J179" s="0" t="inlineStr"/>
      <c r="K179" s="0" t="inlineStr"/>
      <c r="L179" s="0" t="inlineStr"/>
      <c r="M179" s="0" t="inlineStr"/>
      <c r="N179" s="0" t="inlineStr"/>
      <c r="O179" s="0" t="n">
        <v>0</v>
      </c>
      <c r="P179" s="0" t="n">
        <v>0</v>
      </c>
      <c r="Q179" s="0" t="n">
        <v>0</v>
      </c>
      <c r="R179" s="0" t="inlineStr">
        <is>
          <t>Available</t>
        </is>
      </c>
      <c r="S179" s="0" t="inlineStr">
        <is>
          <t>Show</t>
        </is>
      </c>
      <c r="W179" s="0" t="inlineStr"/>
      <c r="X179" s="0" t="inlineStr"/>
      <c r="Z179" s="168" t="n"/>
      <c r="AA179" s="0" t="n">
        <v>14000</v>
      </c>
      <c r="AB179" s="0" t="n">
        <v>14000</v>
      </c>
      <c r="AC179" s="0" t="inlineStr"/>
      <c r="AG179" s="168" t="n"/>
      <c r="AI179" s="168" t="inlineStr"/>
      <c r="AK179" s="0" t="inlineStr"/>
      <c r="AM179" s="168" t="inlineStr"/>
      <c r="AO179" s="168" t="n"/>
      <c r="AP179" s="0" t="inlineStr"/>
    </row>
    <row r="180">
      <c r="A180" s="0" t="inlineStr">
        <is>
          <t>GoFood</t>
        </is>
      </c>
      <c r="B180" s="0" t="inlineStr">
        <is>
          <t>Superfood (test)</t>
        </is>
      </c>
      <c r="C180" s="0" t="inlineStr">
        <is>
          <t>F</t>
        </is>
      </c>
      <c r="D180" s="0" t="inlineStr">
        <is>
          <t>https://gofood.link/a/G828092803</t>
        </is>
      </c>
      <c r="E180" s="0" t="inlineStr">
        <is>
          <t>G828092803</t>
        </is>
      </c>
      <c r="F180" s="0" t="inlineStr">
        <is>
          <t>43a1ecd9-7bb4-4b73-bb2f-f7a53ee70e90</t>
        </is>
      </c>
      <c r="G180" s="0" t="inlineStr">
        <is>
          <t>Camilan Manis</t>
        </is>
      </c>
      <c r="H180" s="0" t="inlineStr">
        <is>
          <t>94058f53-20a5-4382-8211-09ef1543cf45</t>
        </is>
      </c>
      <c r="I180" s="0" t="inlineStr">
        <is>
          <t>Kue Cubit</t>
        </is>
      </c>
      <c r="J180" s="0" t="inlineStr"/>
      <c r="K180" s="0" t="inlineStr"/>
      <c r="L180" s="0" t="inlineStr"/>
      <c r="M180" s="0" t="inlineStr"/>
      <c r="N180" s="0" t="inlineStr"/>
      <c r="O180" s="0" t="n">
        <v>0</v>
      </c>
      <c r="P180" s="0" t="n">
        <v>0</v>
      </c>
      <c r="Q180" s="0" t="n">
        <v>0</v>
      </c>
      <c r="R180" s="0" t="inlineStr">
        <is>
          <t>Available</t>
        </is>
      </c>
      <c r="S180" s="0" t="inlineStr">
        <is>
          <t>Show</t>
        </is>
      </c>
      <c r="W180" s="0" t="inlineStr"/>
      <c r="X180" s="0" t="inlineStr"/>
      <c r="Z180" s="168" t="n"/>
      <c r="AA180" s="0" t="n">
        <v>14000</v>
      </c>
      <c r="AB180" s="0" t="n">
        <v>14000</v>
      </c>
      <c r="AC180" s="0" t="inlineStr"/>
      <c r="AG180" s="168" t="n"/>
      <c r="AI180" s="168" t="inlineStr"/>
      <c r="AK180" s="0" t="inlineStr"/>
      <c r="AM180" s="168" t="inlineStr"/>
      <c r="AO180" s="168" t="n"/>
      <c r="AP180" s="0" t="inlineStr"/>
    </row>
    <row r="181">
      <c r="A181" s="0" t="inlineStr">
        <is>
          <t>GoFood</t>
        </is>
      </c>
      <c r="B181" s="0" t="inlineStr">
        <is>
          <t>Superfood (test)</t>
        </is>
      </c>
      <c r="C181" s="0" t="inlineStr">
        <is>
          <t>F</t>
        </is>
      </c>
      <c r="D181" s="0" t="inlineStr">
        <is>
          <t>https://gofood.link/a/G828092803</t>
        </is>
      </c>
      <c r="E181" s="0" t="inlineStr">
        <is>
          <t>G828092803</t>
        </is>
      </c>
      <c r="F181" s="0" t="inlineStr">
        <is>
          <t>43a1ecd9-7bb4-4b73-bb2f-f7a53ee70e90</t>
        </is>
      </c>
      <c r="G181" s="0" t="inlineStr">
        <is>
          <t>Camilan Manis</t>
        </is>
      </c>
      <c r="H181" s="0" t="inlineStr">
        <is>
          <t>a1cfa35a-a84e-4747-8c10-4cdc12dd3aad</t>
        </is>
      </c>
      <c r="I181" s="0" t="inlineStr">
        <is>
          <t>Serabi</t>
        </is>
      </c>
      <c r="J181" s="0" t="inlineStr"/>
      <c r="K181" s="0" t="inlineStr"/>
      <c r="L181" s="0" t="inlineStr"/>
      <c r="M181" s="0" t="inlineStr"/>
      <c r="N181" s="0" t="inlineStr"/>
      <c r="O181" s="0" t="n">
        <v>0</v>
      </c>
      <c r="P181" s="0" t="n">
        <v>0</v>
      </c>
      <c r="Q181" s="0" t="n">
        <v>0</v>
      </c>
      <c r="R181" s="0" t="inlineStr">
        <is>
          <t>Available</t>
        </is>
      </c>
      <c r="S181" s="0" t="inlineStr">
        <is>
          <t>Show</t>
        </is>
      </c>
      <c r="W181" s="0" t="inlineStr"/>
      <c r="X181" s="0" t="inlineStr"/>
      <c r="Z181" s="168" t="n"/>
      <c r="AA181" s="0" t="n">
        <v>12000</v>
      </c>
      <c r="AB181" s="0" t="n">
        <v>12000</v>
      </c>
      <c r="AC181" s="0" t="inlineStr"/>
      <c r="AG181" s="168" t="n"/>
      <c r="AI181" s="168" t="inlineStr"/>
      <c r="AK181" s="0" t="inlineStr"/>
      <c r="AM181" s="168" t="inlineStr"/>
      <c r="AO181" s="168" t="n"/>
      <c r="AP181" s="0" t="inlineStr"/>
    </row>
    <row r="182">
      <c r="A182" s="0" t="inlineStr">
        <is>
          <t>GoFood</t>
        </is>
      </c>
      <c r="B182" s="0" t="inlineStr">
        <is>
          <t>Superfood (test)</t>
        </is>
      </c>
      <c r="C182" s="0" t="inlineStr">
        <is>
          <t>F</t>
        </is>
      </c>
      <c r="D182" s="0" t="inlineStr">
        <is>
          <t>https://gofood.link/a/G828092803</t>
        </is>
      </c>
      <c r="E182" s="0" t="inlineStr">
        <is>
          <t>G828092803</t>
        </is>
      </c>
      <c r="F182" s="0" t="inlineStr">
        <is>
          <t>1edab820-46fa-44c7-89ff-d4f08a94920f</t>
        </is>
      </c>
      <c r="G182" s="0" t="inlineStr">
        <is>
          <t>Seafood</t>
        </is>
      </c>
      <c r="H182" s="0" t="inlineStr">
        <is>
          <t>0245b548-3642-46eb-8166-18f83dbc0b34</t>
        </is>
      </c>
      <c r="I182" s="0" t="inlineStr">
        <is>
          <t>Cumi Goreng Tepung</t>
        </is>
      </c>
      <c r="J182" s="0" t="inlineStr"/>
      <c r="K182" s="0" t="inlineStr"/>
      <c r="L182" s="0" t="inlineStr"/>
      <c r="M182" s="0" t="inlineStr"/>
      <c r="N182" s="0" t="inlineStr"/>
      <c r="O182" s="0" t="n">
        <v>0</v>
      </c>
      <c r="P182" s="0" t="n">
        <v>0</v>
      </c>
      <c r="Q182" s="0" t="n">
        <v>0</v>
      </c>
      <c r="R182" s="0" t="inlineStr">
        <is>
          <t>Available</t>
        </is>
      </c>
      <c r="S182" s="0" t="inlineStr">
        <is>
          <t>Show</t>
        </is>
      </c>
      <c r="W182" s="0" t="inlineStr"/>
      <c r="X182" s="0" t="inlineStr"/>
      <c r="Z182" s="168" t="n"/>
      <c r="AA182" s="0" t="n">
        <v>30000</v>
      </c>
      <c r="AB182" s="0" t="n">
        <v>30000</v>
      </c>
      <c r="AC182" s="0" t="inlineStr"/>
      <c r="AG182" s="168" t="n"/>
      <c r="AI182" s="168" t="inlineStr"/>
      <c r="AK182" s="0" t="inlineStr"/>
      <c r="AM182" s="168" t="inlineStr"/>
      <c r="AO182" s="168" t="n"/>
      <c r="AP182" s="0" t="inlineStr"/>
    </row>
    <row r="183">
      <c r="A183" s="0" t="inlineStr">
        <is>
          <t>GoFood</t>
        </is>
      </c>
      <c r="B183" s="0" t="inlineStr">
        <is>
          <t>Superfood (test)</t>
        </is>
      </c>
      <c r="C183" s="0" t="inlineStr">
        <is>
          <t>F</t>
        </is>
      </c>
      <c r="D183" s="0" t="inlineStr">
        <is>
          <t>https://gofood.link/a/G828092803</t>
        </is>
      </c>
      <c r="E183" s="0" t="inlineStr">
        <is>
          <t>G828092803</t>
        </is>
      </c>
      <c r="F183" s="0" t="inlineStr">
        <is>
          <t>1edab820-46fa-44c7-89ff-d4f08a94920f</t>
        </is>
      </c>
      <c r="G183" s="0" t="inlineStr">
        <is>
          <t>Seafood</t>
        </is>
      </c>
      <c r="H183" s="0" t="inlineStr">
        <is>
          <t>16f0c561-372f-4758-8be3-ddbb058e7bad</t>
        </is>
      </c>
      <c r="I183" s="0" t="inlineStr">
        <is>
          <t>Cumi Saus Padang</t>
        </is>
      </c>
      <c r="J183" s="0" t="inlineStr"/>
      <c r="K183" s="0" t="inlineStr"/>
      <c r="L183" s="0" t="inlineStr"/>
      <c r="M183" s="0" t="inlineStr"/>
      <c r="N183" s="0" t="inlineStr"/>
      <c r="O183" s="0" t="n">
        <v>0</v>
      </c>
      <c r="P183" s="0" t="n">
        <v>0</v>
      </c>
      <c r="Q183" s="0" t="n">
        <v>0</v>
      </c>
      <c r="R183" s="0" t="inlineStr">
        <is>
          <t>Available</t>
        </is>
      </c>
      <c r="S183" s="0" t="inlineStr">
        <is>
          <t>Show</t>
        </is>
      </c>
      <c r="W183" s="0" t="inlineStr"/>
      <c r="X183" s="0" t="inlineStr"/>
      <c r="Z183" s="168" t="n"/>
      <c r="AA183" s="0" t="n">
        <v>32000</v>
      </c>
      <c r="AB183" s="0" t="n">
        <v>32000</v>
      </c>
      <c r="AC183" s="0" t="inlineStr"/>
      <c r="AG183" s="168" t="n"/>
      <c r="AI183" s="168" t="inlineStr"/>
      <c r="AK183" s="0" t="inlineStr"/>
      <c r="AM183" s="168" t="inlineStr"/>
      <c r="AO183" s="168" t="n"/>
      <c r="AP183" s="0" t="inlineStr"/>
    </row>
    <row r="184">
      <c r="A184" s="0" t="inlineStr">
        <is>
          <t>GoFood</t>
        </is>
      </c>
      <c r="B184" s="0" t="inlineStr">
        <is>
          <t>Superfood (test)</t>
        </is>
      </c>
      <c r="C184" s="0" t="inlineStr">
        <is>
          <t>F</t>
        </is>
      </c>
      <c r="D184" s="0" t="inlineStr">
        <is>
          <t>https://gofood.link/a/G828092803</t>
        </is>
      </c>
      <c r="E184" s="0" t="inlineStr">
        <is>
          <t>G828092803</t>
        </is>
      </c>
      <c r="F184" s="0" t="inlineStr">
        <is>
          <t>1edab820-46fa-44c7-89ff-d4f08a94920f</t>
        </is>
      </c>
      <c r="G184" s="0" t="inlineStr">
        <is>
          <t>Seafood</t>
        </is>
      </c>
      <c r="H184" s="0" t="inlineStr">
        <is>
          <t>9fd3f0d4-318a-4f4e-ae07-c59f9f9ae7ba</t>
        </is>
      </c>
      <c r="I184" s="0" t="inlineStr">
        <is>
          <t>Udang Goreng Tepung</t>
        </is>
      </c>
      <c r="J184" s="0" t="inlineStr"/>
      <c r="K184" s="0" t="inlineStr"/>
      <c r="L184" s="0" t="inlineStr"/>
      <c r="M184" s="0" t="inlineStr"/>
      <c r="N184" s="0" t="inlineStr"/>
      <c r="O184" s="0" t="n">
        <v>0</v>
      </c>
      <c r="P184" s="0" t="n">
        <v>0</v>
      </c>
      <c r="Q184" s="0" t="n">
        <v>0</v>
      </c>
      <c r="R184" s="0" t="inlineStr">
        <is>
          <t>Available</t>
        </is>
      </c>
      <c r="S184" s="0" t="inlineStr">
        <is>
          <t>Show</t>
        </is>
      </c>
      <c r="W184" s="0" t="inlineStr"/>
      <c r="X184" s="0" t="inlineStr"/>
      <c r="Z184" s="168" t="n"/>
      <c r="AA184" s="0" t="n">
        <v>32000</v>
      </c>
      <c r="AB184" s="0" t="n">
        <v>32000</v>
      </c>
      <c r="AC184" s="0" t="inlineStr"/>
      <c r="AG184" s="168" t="n"/>
      <c r="AI184" s="168" t="inlineStr"/>
      <c r="AK184" s="0" t="inlineStr"/>
      <c r="AM184" s="168" t="inlineStr"/>
      <c r="AO184" s="168" t="n"/>
      <c r="AP184" s="0" t="inlineStr"/>
    </row>
    <row r="185">
      <c r="A185" s="0" t="inlineStr">
        <is>
          <t>GoFood</t>
        </is>
      </c>
      <c r="B185" s="0" t="inlineStr">
        <is>
          <t>Superfood (test)</t>
        </is>
      </c>
      <c r="C185" s="0" t="inlineStr">
        <is>
          <t>F</t>
        </is>
      </c>
      <c r="D185" s="0" t="inlineStr">
        <is>
          <t>https://gofood.link/a/G828092803</t>
        </is>
      </c>
      <c r="E185" s="0" t="inlineStr">
        <is>
          <t>G828092803</t>
        </is>
      </c>
      <c r="F185" s="0" t="inlineStr">
        <is>
          <t>1edab820-46fa-44c7-89ff-d4f08a94920f</t>
        </is>
      </c>
      <c r="G185" s="0" t="inlineStr">
        <is>
          <t>Seafood</t>
        </is>
      </c>
      <c r="H185" s="0" t="inlineStr">
        <is>
          <t>2ab63e9d-8433-4759-8c34-ecfd47dd2e18</t>
        </is>
      </c>
      <c r="I185" s="0" t="inlineStr">
        <is>
          <t>Udang Saus Mentega</t>
        </is>
      </c>
      <c r="J185" s="0" t="inlineStr"/>
      <c r="K185" s="0" t="inlineStr"/>
      <c r="L185" s="0" t="inlineStr"/>
      <c r="M185" s="0" t="inlineStr"/>
      <c r="N185" s="0" t="inlineStr"/>
      <c r="O185" s="0" t="n">
        <v>0</v>
      </c>
      <c r="P185" s="0" t="n">
        <v>0</v>
      </c>
      <c r="Q185" s="0" t="n">
        <v>0</v>
      </c>
      <c r="R185" s="0" t="inlineStr">
        <is>
          <t>Available</t>
        </is>
      </c>
      <c r="S185" s="0" t="inlineStr">
        <is>
          <t>Show</t>
        </is>
      </c>
      <c r="W185" s="0" t="inlineStr"/>
      <c r="X185" s="0" t="inlineStr"/>
      <c r="Z185" s="168" t="n"/>
      <c r="AA185" s="0" t="n">
        <v>34000</v>
      </c>
      <c r="AB185" s="0" t="n">
        <v>34000</v>
      </c>
      <c r="AC185" s="0" t="inlineStr"/>
      <c r="AG185" s="168" t="n"/>
      <c r="AI185" s="168" t="inlineStr"/>
      <c r="AK185" s="0" t="inlineStr"/>
      <c r="AM185" s="168" t="inlineStr"/>
      <c r="AO185" s="168" t="n"/>
      <c r="AP185" s="0" t="inlineStr"/>
    </row>
    <row r="186">
      <c r="A186" s="0" t="inlineStr">
        <is>
          <t>GoFood</t>
        </is>
      </c>
      <c r="B186" s="0" t="inlineStr">
        <is>
          <t>Superfood (test)</t>
        </is>
      </c>
      <c r="C186" s="0" t="inlineStr">
        <is>
          <t>F</t>
        </is>
      </c>
      <c r="D186" s="0" t="inlineStr">
        <is>
          <t>https://gofood.link/a/G828092803</t>
        </is>
      </c>
      <c r="E186" s="0" t="inlineStr">
        <is>
          <t>G828092803</t>
        </is>
      </c>
      <c r="F186" s="0" t="inlineStr">
        <is>
          <t>1edab820-46fa-44c7-89ff-d4f08a94920f</t>
        </is>
      </c>
      <c r="G186" s="0" t="inlineStr">
        <is>
          <t>Seafood</t>
        </is>
      </c>
      <c r="H186" s="0" t="inlineStr">
        <is>
          <t>5a6d872d-2b06-4147-b94b-01faa7632574</t>
        </is>
      </c>
      <c r="I186" s="0" t="inlineStr">
        <is>
          <t>Ikan Bakar Kecap</t>
        </is>
      </c>
      <c r="J186" s="0" t="inlineStr"/>
      <c r="K186" s="0" t="inlineStr"/>
      <c r="L186" s="0" t="inlineStr"/>
      <c r="M186" s="0" t="inlineStr"/>
      <c r="N186" s="0" t="inlineStr"/>
      <c r="O186" s="0" t="n">
        <v>0</v>
      </c>
      <c r="P186" s="0" t="n">
        <v>0</v>
      </c>
      <c r="Q186" s="0" t="n">
        <v>0</v>
      </c>
      <c r="R186" s="0" t="inlineStr">
        <is>
          <t>Available</t>
        </is>
      </c>
      <c r="S186" s="0" t="inlineStr">
        <is>
          <t>Show</t>
        </is>
      </c>
      <c r="W186" s="0" t="inlineStr"/>
      <c r="X186" s="0" t="inlineStr"/>
      <c r="Z186" s="168" t="n"/>
      <c r="AA186" s="0" t="n">
        <v>27000</v>
      </c>
      <c r="AB186" s="0" t="n">
        <v>27000</v>
      </c>
      <c r="AC186" s="0" t="inlineStr"/>
      <c r="AG186" s="168" t="n"/>
      <c r="AI186" s="168" t="inlineStr"/>
      <c r="AK186" s="0" t="inlineStr"/>
      <c r="AM186" s="168" t="inlineStr"/>
      <c r="AO186" s="168" t="n"/>
      <c r="AP186" s="0" t="inlineStr"/>
    </row>
    <row r="187">
      <c r="A187" s="0" t="inlineStr">
        <is>
          <t>GoFood</t>
        </is>
      </c>
      <c r="B187" s="0" t="inlineStr">
        <is>
          <t>Superfood (test)</t>
        </is>
      </c>
      <c r="C187" s="0" t="inlineStr">
        <is>
          <t>F</t>
        </is>
      </c>
      <c r="D187" s="0" t="inlineStr">
        <is>
          <t>https://gofood.link/a/G828092803</t>
        </is>
      </c>
      <c r="E187" s="0" t="inlineStr">
        <is>
          <t>G828092803</t>
        </is>
      </c>
      <c r="F187" s="0" t="inlineStr">
        <is>
          <t>1edab820-46fa-44c7-89ff-d4f08a94920f</t>
        </is>
      </c>
      <c r="G187" s="0" t="inlineStr">
        <is>
          <t>Seafood</t>
        </is>
      </c>
      <c r="H187" s="0" t="inlineStr">
        <is>
          <t>c16de8f6-ba59-4283-963e-438d51be52bb</t>
        </is>
      </c>
      <c r="I187" s="0" t="inlineStr">
        <is>
          <t>Ikan Goreng Tepung</t>
        </is>
      </c>
      <c r="J187" s="0" t="inlineStr"/>
      <c r="K187" s="0" t="inlineStr"/>
      <c r="L187" s="0" t="inlineStr"/>
      <c r="M187" s="0" t="inlineStr"/>
      <c r="N187" s="0" t="inlineStr"/>
      <c r="O187" s="0" t="n">
        <v>0</v>
      </c>
      <c r="P187" s="0" t="n">
        <v>0</v>
      </c>
      <c r="Q187" s="0" t="n">
        <v>0</v>
      </c>
      <c r="R187" s="0" t="inlineStr">
        <is>
          <t>Available</t>
        </is>
      </c>
      <c r="S187" s="0" t="inlineStr">
        <is>
          <t>Show</t>
        </is>
      </c>
      <c r="W187" s="0" t="inlineStr"/>
      <c r="X187" s="0" t="inlineStr"/>
      <c r="Z187" s="168" t="n"/>
      <c r="AA187" s="0" t="n">
        <v>24000</v>
      </c>
      <c r="AB187" s="0" t="n">
        <v>24000</v>
      </c>
      <c r="AC187" s="0" t="inlineStr"/>
      <c r="AG187" s="168" t="n"/>
      <c r="AI187" s="168" t="inlineStr"/>
      <c r="AK187" s="0" t="inlineStr"/>
      <c r="AM187" s="168" t="inlineStr"/>
      <c r="AO187" s="168" t="n"/>
      <c r="AP187" s="0" t="inlineStr"/>
    </row>
    <row r="188">
      <c r="A188" s="0" t="inlineStr">
        <is>
          <t>GoFood</t>
        </is>
      </c>
      <c r="B188" s="0" t="inlineStr">
        <is>
          <t>Superfood (test)</t>
        </is>
      </c>
      <c r="C188" s="0" t="inlineStr">
        <is>
          <t>F</t>
        </is>
      </c>
      <c r="D188" s="0" t="inlineStr">
        <is>
          <t>https://gofood.link/a/G828092803</t>
        </is>
      </c>
      <c r="E188" s="0" t="inlineStr">
        <is>
          <t>G828092803</t>
        </is>
      </c>
      <c r="F188" s="0" t="inlineStr">
        <is>
          <t>1edab820-46fa-44c7-89ff-d4f08a94920f</t>
        </is>
      </c>
      <c r="G188" s="0" t="inlineStr">
        <is>
          <t>Seafood</t>
        </is>
      </c>
      <c r="H188" s="0" t="inlineStr">
        <is>
          <t>58266144-9915-4441-bdab-ff106a7ff10a</t>
        </is>
      </c>
      <c r="I188" s="0" t="inlineStr">
        <is>
          <t>Kepiting Saus Padang</t>
        </is>
      </c>
      <c r="J188" s="0" t="inlineStr"/>
      <c r="K188" s="0" t="inlineStr"/>
      <c r="L188" s="0" t="inlineStr"/>
      <c r="M188" s="0" t="inlineStr"/>
      <c r="N188" s="0" t="inlineStr"/>
      <c r="O188" s="0" t="n">
        <v>0</v>
      </c>
      <c r="P188" s="0" t="n">
        <v>0</v>
      </c>
      <c r="Q188" s="0" t="n">
        <v>0</v>
      </c>
      <c r="R188" s="0" t="inlineStr">
        <is>
          <t>Available</t>
        </is>
      </c>
      <c r="S188" s="0" t="inlineStr">
        <is>
          <t>Show</t>
        </is>
      </c>
      <c r="W188" s="0" t="inlineStr"/>
      <c r="X188" s="0" t="inlineStr"/>
      <c r="Z188" s="168" t="n"/>
      <c r="AA188" s="0" t="n">
        <v>47000</v>
      </c>
      <c r="AB188" s="0" t="n">
        <v>47000</v>
      </c>
      <c r="AC188" s="0" t="inlineStr"/>
      <c r="AG188" s="168" t="n"/>
      <c r="AI188" s="168" t="inlineStr"/>
      <c r="AK188" s="0" t="inlineStr"/>
      <c r="AM188" s="168" t="inlineStr"/>
      <c r="AO188" s="168" t="n"/>
      <c r="AP188" s="0" t="inlineStr"/>
    </row>
    <row r="189">
      <c r="A189" s="0" t="inlineStr">
        <is>
          <t>GoFood</t>
        </is>
      </c>
      <c r="B189" s="0" t="inlineStr">
        <is>
          <t>Superfood (test)</t>
        </is>
      </c>
      <c r="C189" s="0" t="inlineStr">
        <is>
          <t>F</t>
        </is>
      </c>
      <c r="D189" s="0" t="inlineStr">
        <is>
          <t>https://gofood.link/a/G828092803</t>
        </is>
      </c>
      <c r="E189" s="0" t="inlineStr">
        <is>
          <t>G828092803</t>
        </is>
      </c>
      <c r="F189" s="0" t="inlineStr">
        <is>
          <t>1edab820-46fa-44c7-89ff-d4f08a94920f</t>
        </is>
      </c>
      <c r="G189" s="0" t="inlineStr">
        <is>
          <t>Seafood</t>
        </is>
      </c>
      <c r="H189" s="0" t="inlineStr">
        <is>
          <t>0b95174a-9a15-4121-a1ce-7a7e16502135</t>
        </is>
      </c>
      <c r="I189" s="0" t="inlineStr">
        <is>
          <t>Kerang Rebus</t>
        </is>
      </c>
      <c r="J189" s="0" t="inlineStr"/>
      <c r="K189" s="0" t="inlineStr"/>
      <c r="L189" s="0" t="inlineStr"/>
      <c r="M189" s="0" t="inlineStr"/>
      <c r="N189" s="0" t="inlineStr"/>
      <c r="O189" s="0" t="n">
        <v>0</v>
      </c>
      <c r="P189" s="0" t="n">
        <v>0</v>
      </c>
      <c r="Q189" s="0" t="n">
        <v>0</v>
      </c>
      <c r="R189" s="0" t="inlineStr">
        <is>
          <t>Available</t>
        </is>
      </c>
      <c r="S189" s="0" t="inlineStr">
        <is>
          <t>Show</t>
        </is>
      </c>
      <c r="W189" s="0" t="inlineStr"/>
      <c r="X189" s="0" t="inlineStr"/>
      <c r="Z189" s="168" t="n"/>
      <c r="AA189" s="0" t="n">
        <v>22000</v>
      </c>
      <c r="AB189" s="0" t="n">
        <v>22000</v>
      </c>
      <c r="AC189" s="0" t="inlineStr"/>
      <c r="AG189" s="168" t="n"/>
      <c r="AI189" s="168" t="inlineStr"/>
      <c r="AK189" s="0" t="inlineStr"/>
      <c r="AM189" s="168" t="inlineStr"/>
      <c r="AO189" s="168" t="n"/>
      <c r="AP189" s="0" t="inlineStr"/>
    </row>
    <row r="190">
      <c r="A190" s="0" t="inlineStr">
        <is>
          <t>GoFood</t>
        </is>
      </c>
      <c r="B190" s="0" t="inlineStr">
        <is>
          <t>Superfood (test)</t>
        </is>
      </c>
      <c r="C190" s="0" t="inlineStr">
        <is>
          <t>F</t>
        </is>
      </c>
      <c r="D190" s="0" t="inlineStr">
        <is>
          <t>https://gofood.link/a/G828092803</t>
        </is>
      </c>
      <c r="E190" s="0" t="inlineStr">
        <is>
          <t>G828092803</t>
        </is>
      </c>
      <c r="F190" s="0" t="inlineStr">
        <is>
          <t>1edab820-46fa-44c7-89ff-d4f08a94920f</t>
        </is>
      </c>
      <c r="G190" s="0" t="inlineStr">
        <is>
          <t>Seafood</t>
        </is>
      </c>
      <c r="H190" s="0" t="inlineStr">
        <is>
          <t>c935b994-4070-452c-83db-8074b01b936c</t>
        </is>
      </c>
      <c r="I190" s="0" t="inlineStr">
        <is>
          <t>Gurame Asam Manis</t>
        </is>
      </c>
      <c r="J190" s="0" t="inlineStr"/>
      <c r="K190" s="0" t="inlineStr"/>
      <c r="L190" s="0" t="inlineStr"/>
      <c r="M190" s="0" t="inlineStr"/>
      <c r="N190" s="0" t="inlineStr"/>
      <c r="O190" s="0" t="n">
        <v>0</v>
      </c>
      <c r="P190" s="0" t="n">
        <v>0</v>
      </c>
      <c r="Q190" s="0" t="n">
        <v>0</v>
      </c>
      <c r="R190" s="0" t="inlineStr">
        <is>
          <t>Available</t>
        </is>
      </c>
      <c r="S190" s="0" t="inlineStr">
        <is>
          <t>Show</t>
        </is>
      </c>
      <c r="W190" s="0" t="inlineStr"/>
      <c r="X190" s="0" t="inlineStr"/>
      <c r="Z190" s="168" t="n"/>
      <c r="AA190" s="0" t="n">
        <v>37000</v>
      </c>
      <c r="AB190" s="0" t="n">
        <v>37000</v>
      </c>
      <c r="AC190" s="0" t="inlineStr"/>
      <c r="AG190" s="168" t="n"/>
      <c r="AI190" s="168" t="inlineStr"/>
      <c r="AK190" s="0" t="inlineStr"/>
      <c r="AM190" s="168" t="inlineStr"/>
      <c r="AO190" s="168" t="n"/>
      <c r="AP190" s="0" t="inlineStr"/>
    </row>
    <row r="191">
      <c r="A191" s="0" t="inlineStr">
        <is>
          <t>GoFood</t>
        </is>
      </c>
      <c r="B191" s="0" t="inlineStr">
        <is>
          <t>Superfood (test)</t>
        </is>
      </c>
      <c r="C191" s="0" t="inlineStr">
        <is>
          <t>F</t>
        </is>
      </c>
      <c r="D191" s="0" t="inlineStr">
        <is>
          <t>https://gofood.link/a/G828092803</t>
        </is>
      </c>
      <c r="E191" s="0" t="inlineStr">
        <is>
          <t>G828092803</t>
        </is>
      </c>
      <c r="F191" s="0" t="inlineStr">
        <is>
          <t>1edab820-46fa-44c7-89ff-d4f08a94920f</t>
        </is>
      </c>
      <c r="G191" s="0" t="inlineStr">
        <is>
          <t>Seafood</t>
        </is>
      </c>
      <c r="H191" s="0" t="inlineStr">
        <is>
          <t>b45ef6bd-b94d-489b-8b51-1e87c6c12f1d</t>
        </is>
      </c>
      <c r="I191" s="0" t="inlineStr">
        <is>
          <t>Kakap Goreng Saus Asam Manis</t>
        </is>
      </c>
      <c r="J191" s="0" t="inlineStr"/>
      <c r="K191" s="0" t="inlineStr"/>
      <c r="L191" s="0" t="inlineStr"/>
      <c r="M191" s="0" t="inlineStr"/>
      <c r="N191" s="0" t="inlineStr"/>
      <c r="O191" s="0" t="n">
        <v>0</v>
      </c>
      <c r="P191" s="0" t="n">
        <v>0</v>
      </c>
      <c r="Q191" s="0" t="n">
        <v>0</v>
      </c>
      <c r="R191" s="0" t="inlineStr">
        <is>
          <t>Available</t>
        </is>
      </c>
      <c r="S191" s="0" t="inlineStr">
        <is>
          <t>Show</t>
        </is>
      </c>
      <c r="W191" s="0" t="inlineStr"/>
      <c r="X191" s="0" t="inlineStr"/>
      <c r="Z191" s="168" t="n"/>
      <c r="AA191" s="0" t="n">
        <v>37000</v>
      </c>
      <c r="AB191" s="0" t="n">
        <v>37000</v>
      </c>
      <c r="AC191" s="0" t="inlineStr"/>
      <c r="AG191" s="168" t="n"/>
      <c r="AI191" s="168" t="inlineStr"/>
      <c r="AK191" s="0" t="inlineStr"/>
      <c r="AM191" s="168" t="inlineStr"/>
      <c r="AO191" s="168" t="n"/>
      <c r="AP191" s="0" t="inlineStr"/>
    </row>
    <row r="192">
      <c r="A192" s="0" t="inlineStr">
        <is>
          <t>GoFood</t>
        </is>
      </c>
      <c r="B192" s="0" t="inlineStr">
        <is>
          <t>Superfood (test)</t>
        </is>
      </c>
      <c r="C192" s="0" t="inlineStr">
        <is>
          <t>F</t>
        </is>
      </c>
      <c r="D192" s="0" t="inlineStr">
        <is>
          <t>https://gofood.link/a/G828092803</t>
        </is>
      </c>
      <c r="E192" s="0" t="inlineStr">
        <is>
          <t>G828092803</t>
        </is>
      </c>
      <c r="F192" s="0" t="inlineStr">
        <is>
          <t>4118161d-050b-4208-99dc-fa39a9d54f37</t>
        </is>
      </c>
      <c r="G192" s="0" t="inlineStr">
        <is>
          <t>Bubur</t>
        </is>
      </c>
      <c r="H192" s="0" t="inlineStr">
        <is>
          <t>57c7a3e0-32d2-4eab-a0de-0ace9ea00875</t>
        </is>
      </c>
      <c r="I192" s="0" t="inlineStr">
        <is>
          <t>Bubur Ayam</t>
        </is>
      </c>
      <c r="J192" s="0" t="inlineStr"/>
      <c r="K192" s="0" t="inlineStr"/>
      <c r="L192" s="0" t="inlineStr"/>
      <c r="M192" s="0" t="inlineStr"/>
      <c r="N192" s="0" t="inlineStr"/>
      <c r="O192" s="0" t="n">
        <v>0</v>
      </c>
      <c r="P192" s="0" t="n">
        <v>0</v>
      </c>
      <c r="Q192" s="0" t="n">
        <v>0</v>
      </c>
      <c r="R192" s="0" t="inlineStr">
        <is>
          <t>Available</t>
        </is>
      </c>
      <c r="S192" s="0" t="inlineStr">
        <is>
          <t>Show</t>
        </is>
      </c>
      <c r="W192" s="0" t="inlineStr"/>
      <c r="X192" s="0" t="inlineStr"/>
      <c r="Z192" s="168" t="n"/>
      <c r="AA192" s="0" t="n">
        <v>17000</v>
      </c>
      <c r="AB192" s="0" t="n">
        <v>17000</v>
      </c>
      <c r="AC192" s="0" t="inlineStr"/>
      <c r="AG192" s="168" t="n"/>
      <c r="AI192" s="168" t="inlineStr"/>
      <c r="AK192" s="0" t="inlineStr"/>
      <c r="AM192" s="168" t="inlineStr"/>
      <c r="AO192" s="168" t="n"/>
      <c r="AP192" s="0" t="inlineStr"/>
    </row>
    <row r="193">
      <c r="A193" s="0" t="inlineStr">
        <is>
          <t>GoFood</t>
        </is>
      </c>
      <c r="B193" s="0" t="inlineStr">
        <is>
          <t>Superfood (test)</t>
        </is>
      </c>
      <c r="C193" s="0" t="inlineStr">
        <is>
          <t>F</t>
        </is>
      </c>
      <c r="D193" s="0" t="inlineStr">
        <is>
          <t>https://gofood.link/a/G828092803</t>
        </is>
      </c>
      <c r="E193" s="0" t="inlineStr">
        <is>
          <t>G828092803</t>
        </is>
      </c>
      <c r="F193" s="0" t="inlineStr">
        <is>
          <t>4118161d-050b-4208-99dc-fa39a9d54f37</t>
        </is>
      </c>
      <c r="G193" s="0" t="inlineStr">
        <is>
          <t>Bubur</t>
        </is>
      </c>
      <c r="H193" s="0" t="inlineStr">
        <is>
          <t>65c2b23c-2d11-44fb-a69d-8bf7d6dc803c</t>
        </is>
      </c>
      <c r="I193" s="0" t="inlineStr">
        <is>
          <t>Bubur Kacang Hijau</t>
        </is>
      </c>
      <c r="J193" s="0" t="inlineStr"/>
      <c r="K193" s="0" t="inlineStr"/>
      <c r="L193" s="0" t="inlineStr"/>
      <c r="M193" s="0" t="inlineStr"/>
      <c r="N193" s="0" t="inlineStr"/>
      <c r="O193" s="0" t="n">
        <v>0</v>
      </c>
      <c r="P193" s="0" t="n">
        <v>0</v>
      </c>
      <c r="Q193" s="0" t="n">
        <v>0</v>
      </c>
      <c r="R193" s="0" t="inlineStr">
        <is>
          <t>Available</t>
        </is>
      </c>
      <c r="S193" s="0" t="inlineStr">
        <is>
          <t>Show</t>
        </is>
      </c>
      <c r="W193" s="0" t="inlineStr"/>
      <c r="X193" s="0" t="inlineStr"/>
      <c r="Z193" s="168" t="n"/>
      <c r="AA193" s="0" t="n">
        <v>14000</v>
      </c>
      <c r="AB193" s="0" t="n">
        <v>14000</v>
      </c>
      <c r="AC193" s="0" t="inlineStr"/>
      <c r="AG193" s="168" t="n"/>
      <c r="AI193" s="168" t="inlineStr"/>
      <c r="AK193" s="0" t="inlineStr"/>
      <c r="AM193" s="168" t="inlineStr"/>
      <c r="AO193" s="168" t="n"/>
      <c r="AP193" s="0" t="inlineStr"/>
    </row>
    <row r="194">
      <c r="A194" s="0" t="inlineStr">
        <is>
          <t>GoFood</t>
        </is>
      </c>
      <c r="B194" s="0" t="inlineStr">
        <is>
          <t>Superfood (test)</t>
        </is>
      </c>
      <c r="C194" s="0" t="inlineStr">
        <is>
          <t>F</t>
        </is>
      </c>
      <c r="D194" s="0" t="inlineStr">
        <is>
          <t>https://gofood.link/a/G828092803</t>
        </is>
      </c>
      <c r="E194" s="0" t="inlineStr">
        <is>
          <t>G828092803</t>
        </is>
      </c>
      <c r="F194" s="0" t="inlineStr">
        <is>
          <t>4118161d-050b-4208-99dc-fa39a9d54f37</t>
        </is>
      </c>
      <c r="G194" s="0" t="inlineStr">
        <is>
          <t>Bubur</t>
        </is>
      </c>
      <c r="H194" s="0" t="inlineStr">
        <is>
          <t>8cc9c05b-9fbf-4664-a11a-ec80f4f026df</t>
        </is>
      </c>
      <c r="I194" s="0" t="inlineStr">
        <is>
          <t>Bubur Manado</t>
        </is>
      </c>
      <c r="J194" s="0" t="inlineStr"/>
      <c r="K194" s="0" t="inlineStr"/>
      <c r="L194" s="0" t="inlineStr"/>
      <c r="M194" s="0" t="inlineStr"/>
      <c r="N194" s="0" t="inlineStr"/>
      <c r="O194" s="0" t="n">
        <v>0</v>
      </c>
      <c r="P194" s="0" t="n">
        <v>0</v>
      </c>
      <c r="Q194" s="0" t="n">
        <v>0</v>
      </c>
      <c r="R194" s="0" t="inlineStr">
        <is>
          <t>Available</t>
        </is>
      </c>
      <c r="S194" s="0" t="inlineStr">
        <is>
          <t>Show</t>
        </is>
      </c>
      <c r="W194" s="0" t="inlineStr"/>
      <c r="X194" s="0" t="inlineStr"/>
      <c r="Z194" s="168" t="n"/>
      <c r="AA194" s="0" t="n">
        <v>17000</v>
      </c>
      <c r="AB194" s="0" t="n">
        <v>17000</v>
      </c>
      <c r="AC194" s="0" t="inlineStr"/>
      <c r="AG194" s="168" t="n"/>
      <c r="AI194" s="168" t="inlineStr"/>
      <c r="AK194" s="0" t="inlineStr"/>
      <c r="AM194" s="168" t="inlineStr"/>
      <c r="AO194" s="168" t="n"/>
      <c r="AP194" s="0" t="inlineStr"/>
    </row>
    <row r="195">
      <c r="A195" s="0" t="inlineStr">
        <is>
          <t>GoFood</t>
        </is>
      </c>
      <c r="B195" s="0" t="inlineStr">
        <is>
          <t>Superfood (test)</t>
        </is>
      </c>
      <c r="C195" s="0" t="inlineStr">
        <is>
          <t>F</t>
        </is>
      </c>
      <c r="D195" s="0" t="inlineStr">
        <is>
          <t>https://gofood.link/a/G828092803</t>
        </is>
      </c>
      <c r="E195" s="0" t="inlineStr">
        <is>
          <t>G828092803</t>
        </is>
      </c>
      <c r="F195" s="0" t="inlineStr">
        <is>
          <t>4118161d-050b-4208-99dc-fa39a9d54f37</t>
        </is>
      </c>
      <c r="G195" s="0" t="inlineStr">
        <is>
          <t>Bubur</t>
        </is>
      </c>
      <c r="H195" s="0" t="inlineStr">
        <is>
          <t>a35a7906-86f8-4424-a02c-b4c851f7c974</t>
        </is>
      </c>
      <c r="I195" s="0" t="inlineStr">
        <is>
          <t>Bubur Sumsum</t>
        </is>
      </c>
      <c r="J195" s="0" t="inlineStr"/>
      <c r="K195" s="0" t="inlineStr"/>
      <c r="L195" s="0" t="inlineStr"/>
      <c r="M195" s="0" t="inlineStr"/>
      <c r="N195" s="0" t="inlineStr"/>
      <c r="O195" s="0" t="n">
        <v>0</v>
      </c>
      <c r="P195" s="0" t="n">
        <v>0</v>
      </c>
      <c r="Q195" s="0" t="n">
        <v>0</v>
      </c>
      <c r="R195" s="0" t="inlineStr">
        <is>
          <t>Available</t>
        </is>
      </c>
      <c r="S195" s="0" t="inlineStr">
        <is>
          <t>Show</t>
        </is>
      </c>
      <c r="W195" s="0" t="inlineStr"/>
      <c r="X195" s="0" t="inlineStr"/>
      <c r="Z195" s="168" t="n"/>
      <c r="AA195" s="0" t="n">
        <v>14000</v>
      </c>
      <c r="AB195" s="0" t="n">
        <v>14000</v>
      </c>
      <c r="AC195" s="0" t="inlineStr"/>
      <c r="AG195" s="168" t="n"/>
      <c r="AI195" s="168" t="inlineStr"/>
      <c r="AK195" s="0" t="inlineStr"/>
      <c r="AM195" s="168" t="inlineStr"/>
      <c r="AO195" s="168" t="n"/>
      <c r="AP195" s="0" t="inlineStr"/>
    </row>
    <row r="196">
      <c r="A196" s="0" t="inlineStr">
        <is>
          <t>GoFood</t>
        </is>
      </c>
      <c r="B196" s="0" t="inlineStr">
        <is>
          <t>Superfood (test)</t>
        </is>
      </c>
      <c r="C196" s="0" t="inlineStr">
        <is>
          <t>F</t>
        </is>
      </c>
      <c r="D196" s="0" t="inlineStr">
        <is>
          <t>https://gofood.link/a/G828092803</t>
        </is>
      </c>
      <c r="E196" s="0" t="inlineStr">
        <is>
          <t>G828092803</t>
        </is>
      </c>
      <c r="F196" s="0" t="inlineStr">
        <is>
          <t>dfebdd2a-709a-4f0a-8a38-58c68fb91e52</t>
        </is>
      </c>
      <c r="G196" s="0" t="inlineStr">
        <is>
          <t>Milkshake</t>
        </is>
      </c>
      <c r="H196" s="0" t="inlineStr">
        <is>
          <t>fd127050-4f32-4ef6-b8f6-81794c1bc362</t>
        </is>
      </c>
      <c r="I196" s="0" t="inlineStr">
        <is>
          <t>Milkshake Coklat</t>
        </is>
      </c>
      <c r="J196" s="0" t="inlineStr"/>
      <c r="K196" s="0" t="inlineStr"/>
      <c r="L196" s="0" t="inlineStr"/>
      <c r="M196" s="0" t="inlineStr"/>
      <c r="N196" s="0" t="inlineStr"/>
      <c r="O196" s="0" t="n">
        <v>0</v>
      </c>
      <c r="P196" s="0" t="n">
        <v>0</v>
      </c>
      <c r="Q196" s="0" t="n">
        <v>0</v>
      </c>
      <c r="R196" s="0" t="inlineStr">
        <is>
          <t>Available</t>
        </is>
      </c>
      <c r="S196" s="0" t="inlineStr">
        <is>
          <t>Show</t>
        </is>
      </c>
      <c r="W196" s="0" t="inlineStr"/>
      <c r="X196" s="0" t="inlineStr"/>
      <c r="Z196" s="168" t="n"/>
      <c r="AA196" s="0" t="n">
        <v>22000</v>
      </c>
      <c r="AB196" s="0" t="n">
        <v>22000</v>
      </c>
      <c r="AC196" s="0" t="inlineStr"/>
      <c r="AG196" s="168" t="n"/>
      <c r="AI196" s="168" t="inlineStr"/>
      <c r="AK196" s="0" t="inlineStr"/>
      <c r="AM196" s="168" t="inlineStr"/>
      <c r="AO196" s="168" t="n"/>
      <c r="AP196" s="0" t="inlineStr"/>
    </row>
    <row r="197">
      <c r="A197" s="0" t="inlineStr">
        <is>
          <t>GoFood</t>
        </is>
      </c>
      <c r="B197" s="0" t="inlineStr">
        <is>
          <t>Superfood (test)</t>
        </is>
      </c>
      <c r="C197" s="0" t="inlineStr">
        <is>
          <t>F</t>
        </is>
      </c>
      <c r="D197" s="0" t="inlineStr">
        <is>
          <t>https://gofood.link/a/G828092803</t>
        </is>
      </c>
      <c r="E197" s="0" t="inlineStr">
        <is>
          <t>G828092803</t>
        </is>
      </c>
      <c r="F197" s="0" t="inlineStr">
        <is>
          <t>dfebdd2a-709a-4f0a-8a38-58c68fb91e52</t>
        </is>
      </c>
      <c r="G197" s="0" t="inlineStr">
        <is>
          <t>Milkshake</t>
        </is>
      </c>
      <c r="H197" s="0" t="inlineStr">
        <is>
          <t>1eee2919-4cf0-47e7-b0d5-b5350aa2b060</t>
        </is>
      </c>
      <c r="I197" s="0" t="inlineStr">
        <is>
          <t>Milkshake Vanilla</t>
        </is>
      </c>
      <c r="J197" s="0" t="inlineStr"/>
      <c r="K197" s="0" t="inlineStr"/>
      <c r="L197" s="0" t="inlineStr"/>
      <c r="M197" s="0" t="inlineStr"/>
      <c r="N197" s="0" t="inlineStr"/>
      <c r="O197" s="0" t="n">
        <v>0</v>
      </c>
      <c r="P197" s="0" t="n">
        <v>0</v>
      </c>
      <c r="Q197" s="0" t="n">
        <v>0</v>
      </c>
      <c r="R197" s="0" t="inlineStr">
        <is>
          <t>Available</t>
        </is>
      </c>
      <c r="S197" s="0" t="inlineStr">
        <is>
          <t>Show</t>
        </is>
      </c>
      <c r="W197" s="0" t="inlineStr"/>
      <c r="X197" s="0" t="inlineStr"/>
      <c r="Z197" s="168" t="n"/>
      <c r="AA197" s="0" t="n">
        <v>22000</v>
      </c>
      <c r="AB197" s="0" t="n">
        <v>22000</v>
      </c>
      <c r="AC197" s="0" t="inlineStr"/>
      <c r="AG197" s="168" t="n"/>
      <c r="AI197" s="168" t="inlineStr"/>
      <c r="AK197" s="0" t="inlineStr"/>
      <c r="AM197" s="168" t="inlineStr"/>
      <c r="AO197" s="168" t="n"/>
      <c r="AP197" s="0" t="inlineStr"/>
    </row>
    <row r="198">
      <c r="A198" s="0" t="inlineStr">
        <is>
          <t>GoFood</t>
        </is>
      </c>
      <c r="B198" s="0" t="inlineStr">
        <is>
          <t>Superfood (test)</t>
        </is>
      </c>
      <c r="C198" s="0" t="inlineStr">
        <is>
          <t>F</t>
        </is>
      </c>
      <c r="D198" s="0" t="inlineStr">
        <is>
          <t>https://gofood.link/a/G828092803</t>
        </is>
      </c>
      <c r="E198" s="0" t="inlineStr">
        <is>
          <t>G828092803</t>
        </is>
      </c>
      <c r="F198" s="0" t="inlineStr">
        <is>
          <t>dfebdd2a-709a-4f0a-8a38-58c68fb91e52</t>
        </is>
      </c>
      <c r="G198" s="0" t="inlineStr">
        <is>
          <t>Milkshake</t>
        </is>
      </c>
      <c r="H198" s="0" t="inlineStr">
        <is>
          <t>a1c8e320-a412-45f3-82db-a7770496bb70</t>
        </is>
      </c>
      <c r="I198" s="0" t="inlineStr">
        <is>
          <t>Milkshake Strawberry</t>
        </is>
      </c>
      <c r="J198" s="0" t="inlineStr"/>
      <c r="K198" s="0" t="inlineStr"/>
      <c r="L198" s="0" t="inlineStr"/>
      <c r="M198" s="0" t="inlineStr"/>
      <c r="N198" s="0" t="inlineStr"/>
      <c r="O198" s="0" t="n">
        <v>0</v>
      </c>
      <c r="P198" s="0" t="n">
        <v>0</v>
      </c>
      <c r="Q198" s="0" t="n">
        <v>0</v>
      </c>
      <c r="R198" s="0" t="inlineStr">
        <is>
          <t>Available</t>
        </is>
      </c>
      <c r="S198" s="0" t="inlineStr">
        <is>
          <t>Show</t>
        </is>
      </c>
      <c r="W198" s="0" t="inlineStr"/>
      <c r="X198" s="0" t="inlineStr"/>
      <c r="Z198" s="168" t="n"/>
      <c r="AA198" s="0" t="n">
        <v>22000</v>
      </c>
      <c r="AB198" s="0" t="n">
        <v>22000</v>
      </c>
      <c r="AC198" s="0" t="inlineStr"/>
      <c r="AG198" s="168" t="n"/>
      <c r="AI198" s="168" t="inlineStr"/>
      <c r="AK198" s="0" t="inlineStr"/>
      <c r="AM198" s="168" t="inlineStr"/>
      <c r="AO198" s="168" t="n"/>
      <c r="AP198" s="0" t="inlineStr"/>
    </row>
    <row r="199">
      <c r="A199" s="0" t="inlineStr">
        <is>
          <t>GoFood</t>
        </is>
      </c>
      <c r="B199" s="0" t="inlineStr">
        <is>
          <t>Superfood (test)</t>
        </is>
      </c>
      <c r="C199" s="0" t="inlineStr">
        <is>
          <t>F</t>
        </is>
      </c>
      <c r="D199" s="0" t="inlineStr">
        <is>
          <t>https://gofood.link/a/G828092803</t>
        </is>
      </c>
      <c r="E199" s="0" t="inlineStr">
        <is>
          <t>G828092803</t>
        </is>
      </c>
      <c r="F199" s="0" t="inlineStr">
        <is>
          <t>dfebdd2a-709a-4f0a-8a38-58c68fb91e52</t>
        </is>
      </c>
      <c r="G199" s="0" t="inlineStr">
        <is>
          <t>Milkshake</t>
        </is>
      </c>
      <c r="H199" s="0" t="inlineStr">
        <is>
          <t>0fbe4233-1f83-478c-8f5e-67fb8f9b9567</t>
        </is>
      </c>
      <c r="I199" s="0" t="inlineStr">
        <is>
          <t>Milkshake Oreo</t>
        </is>
      </c>
      <c r="J199" s="0" t="inlineStr"/>
      <c r="K199" s="0" t="inlineStr"/>
      <c r="L199" s="0" t="inlineStr"/>
      <c r="M199" s="0" t="inlineStr"/>
      <c r="N199" s="0" t="inlineStr"/>
      <c r="O199" s="0" t="n">
        <v>0</v>
      </c>
      <c r="P199" s="0" t="n">
        <v>0</v>
      </c>
      <c r="Q199" s="0" t="n">
        <v>0</v>
      </c>
      <c r="R199" s="0" t="inlineStr">
        <is>
          <t>Available</t>
        </is>
      </c>
      <c r="S199" s="0" t="inlineStr">
        <is>
          <t>Show</t>
        </is>
      </c>
      <c r="W199" s="0" t="inlineStr"/>
      <c r="X199" s="0" t="inlineStr"/>
      <c r="Z199" s="168" t="n"/>
      <c r="AA199" s="0" t="n">
        <v>24000</v>
      </c>
      <c r="AB199" s="0" t="n">
        <v>24000</v>
      </c>
      <c r="AC199" s="0" t="inlineStr"/>
      <c r="AG199" s="168" t="n"/>
      <c r="AI199" s="168" t="inlineStr"/>
      <c r="AK199" s="0" t="inlineStr"/>
      <c r="AM199" s="168" t="inlineStr"/>
      <c r="AO199" s="168" t="n"/>
      <c r="AP199" s="0" t="inlineStr"/>
    </row>
    <row r="200">
      <c r="A200" s="0" t="inlineStr">
        <is>
          <t>GoFood</t>
        </is>
      </c>
      <c r="B200" s="0" t="inlineStr">
        <is>
          <t>Superfood (test)</t>
        </is>
      </c>
      <c r="C200" s="0" t="inlineStr">
        <is>
          <t>F</t>
        </is>
      </c>
      <c r="D200" s="0" t="inlineStr">
        <is>
          <t>https://gofood.link/a/G828092803</t>
        </is>
      </c>
      <c r="E200" s="0" t="inlineStr">
        <is>
          <t>G828092803</t>
        </is>
      </c>
      <c r="F200" s="0" t="inlineStr">
        <is>
          <t>dfebdd2a-709a-4f0a-8a38-58c68fb91e52</t>
        </is>
      </c>
      <c r="G200" s="0" t="inlineStr">
        <is>
          <t>Milkshake</t>
        </is>
      </c>
      <c r="H200" s="0" t="inlineStr">
        <is>
          <t>2b3174f0-0020-44ae-9bbe-165fedd4b8b1</t>
        </is>
      </c>
      <c r="I200" s="0" t="inlineStr">
        <is>
          <t>Milkshake Taro</t>
        </is>
      </c>
      <c r="J200" s="0" t="inlineStr"/>
      <c r="K200" s="0" t="inlineStr"/>
      <c r="L200" s="0" t="inlineStr"/>
      <c r="M200" s="0" t="inlineStr"/>
      <c r="N200" s="0" t="inlineStr"/>
      <c r="O200" s="0" t="n">
        <v>0</v>
      </c>
      <c r="P200" s="0" t="n">
        <v>0</v>
      </c>
      <c r="Q200" s="0" t="n">
        <v>0</v>
      </c>
      <c r="R200" s="0" t="inlineStr">
        <is>
          <t>Available</t>
        </is>
      </c>
      <c r="S200" s="0" t="inlineStr">
        <is>
          <t>Show</t>
        </is>
      </c>
      <c r="W200" s="0" t="inlineStr"/>
      <c r="X200" s="0" t="inlineStr"/>
      <c r="Z200" s="168" t="n"/>
      <c r="AA200" s="0" t="n">
        <v>24000</v>
      </c>
      <c r="AB200" s="0" t="n">
        <v>24000</v>
      </c>
      <c r="AC200" s="0" t="inlineStr"/>
      <c r="AG200" s="168" t="n"/>
      <c r="AI200" s="168" t="inlineStr"/>
      <c r="AK200" s="0" t="inlineStr"/>
      <c r="AM200" s="168" t="inlineStr"/>
      <c r="AO200" s="168" t="n"/>
      <c r="AP200" s="0" t="inlineStr"/>
    </row>
    <row r="201">
      <c r="A201" s="0" t="inlineStr">
        <is>
          <t>GoFood</t>
        </is>
      </c>
      <c r="B201" s="0" t="inlineStr">
        <is>
          <t>Superfood (test)</t>
        </is>
      </c>
      <c r="C201" s="0" t="inlineStr">
        <is>
          <t>F</t>
        </is>
      </c>
      <c r="D201" s="0" t="inlineStr">
        <is>
          <t>https://gofood.link/a/G828092803</t>
        </is>
      </c>
      <c r="E201" s="0" t="inlineStr">
        <is>
          <t>G828092803</t>
        </is>
      </c>
      <c r="F201" s="0" t="inlineStr">
        <is>
          <t>dfebdd2a-709a-4f0a-8a38-58c68fb91e52</t>
        </is>
      </c>
      <c r="G201" s="0" t="inlineStr">
        <is>
          <t>Milkshake</t>
        </is>
      </c>
      <c r="H201" s="0" t="inlineStr">
        <is>
          <t>6e4be245-a6c5-4308-a541-70e917b6b94b</t>
        </is>
      </c>
      <c r="I201" s="0" t="inlineStr">
        <is>
          <t>Milkshake Matcha</t>
        </is>
      </c>
      <c r="J201" s="0" t="inlineStr"/>
      <c r="K201" s="0" t="inlineStr"/>
      <c r="L201" s="0" t="inlineStr"/>
      <c r="M201" s="0" t="inlineStr"/>
      <c r="N201" s="0" t="inlineStr"/>
      <c r="O201" s="0" t="n">
        <v>0</v>
      </c>
      <c r="P201" s="0" t="n">
        <v>0</v>
      </c>
      <c r="Q201" s="0" t="n">
        <v>0</v>
      </c>
      <c r="R201" s="0" t="inlineStr">
        <is>
          <t>Available</t>
        </is>
      </c>
      <c r="S201" s="0" t="inlineStr">
        <is>
          <t>Show</t>
        </is>
      </c>
      <c r="W201" s="0" t="inlineStr"/>
      <c r="X201" s="0" t="inlineStr"/>
      <c r="Z201" s="168" t="n"/>
      <c r="AA201" s="0" t="n">
        <v>24000</v>
      </c>
      <c r="AB201" s="0" t="n">
        <v>24000</v>
      </c>
      <c r="AC201" s="0" t="inlineStr"/>
      <c r="AG201" s="168" t="n"/>
      <c r="AI201" s="168" t="inlineStr"/>
      <c r="AK201" s="0" t="inlineStr"/>
      <c r="AM201" s="168" t="inlineStr"/>
      <c r="AO201" s="168" t="n"/>
      <c r="AP201" s="0" t="inlineStr"/>
    </row>
    <row r="202">
      <c r="A202" s="0" t="inlineStr">
        <is>
          <t>GoFood</t>
        </is>
      </c>
      <c r="B202" s="0" t="inlineStr">
        <is>
          <t>Superfood (test)</t>
        </is>
      </c>
      <c r="C202" s="0" t="inlineStr">
        <is>
          <t>F</t>
        </is>
      </c>
      <c r="D202" s="0" t="inlineStr">
        <is>
          <t>https://gofood.link/a/G828092803</t>
        </is>
      </c>
      <c r="E202" s="0" t="inlineStr">
        <is>
          <t>G828092803</t>
        </is>
      </c>
      <c r="F202" s="0" t="inlineStr">
        <is>
          <t>94b4e471-c18e-4abe-a328-23378e9c4b40</t>
        </is>
      </c>
      <c r="G202" s="0" t="inlineStr">
        <is>
          <t>Paket Nasi</t>
        </is>
      </c>
      <c r="H202" s="0" t="inlineStr">
        <is>
          <t>4debfc45-b380-4156-a423-57d469b5c4f6</t>
        </is>
      </c>
      <c r="I202" s="0" t="inlineStr">
        <is>
          <t>Paket Nasi Ayam Goreng</t>
        </is>
      </c>
      <c r="J202" s="0" t="inlineStr"/>
      <c r="K202" s="0" t="inlineStr"/>
      <c r="L202" s="0" t="inlineStr"/>
      <c r="M202" s="0" t="inlineStr"/>
      <c r="N202" s="0" t="inlineStr"/>
      <c r="O202" s="0" t="n">
        <v>0</v>
      </c>
      <c r="P202" s="0" t="n">
        <v>0</v>
      </c>
      <c r="Q202" s="0" t="n">
        <v>0</v>
      </c>
      <c r="R202" s="0" t="inlineStr">
        <is>
          <t>Available</t>
        </is>
      </c>
      <c r="S202" s="0" t="inlineStr">
        <is>
          <t>Show</t>
        </is>
      </c>
      <c r="W202" s="0" t="inlineStr"/>
      <c r="X202" s="0" t="inlineStr"/>
      <c r="Z202" s="168" t="n"/>
      <c r="AA202" s="0" t="n">
        <v>27000</v>
      </c>
      <c r="AB202" s="0" t="n">
        <v>27000</v>
      </c>
      <c r="AC202" s="0" t="inlineStr"/>
      <c r="AG202" s="168" t="n"/>
      <c r="AI202" s="168" t="inlineStr"/>
      <c r="AK202" s="0" t="inlineStr"/>
      <c r="AM202" s="168" t="inlineStr"/>
      <c r="AO202" s="168" t="n"/>
      <c r="AP202" s="0" t="inlineStr"/>
    </row>
    <row r="203">
      <c r="A203" s="0" t="inlineStr">
        <is>
          <t>GoFood</t>
        </is>
      </c>
      <c r="B203" s="0" t="inlineStr">
        <is>
          <t>Superfood (test)</t>
        </is>
      </c>
      <c r="C203" s="0" t="inlineStr">
        <is>
          <t>F</t>
        </is>
      </c>
      <c r="D203" s="0" t="inlineStr">
        <is>
          <t>https://gofood.link/a/G828092803</t>
        </is>
      </c>
      <c r="E203" s="0" t="inlineStr">
        <is>
          <t>G828092803</t>
        </is>
      </c>
      <c r="F203" s="0" t="inlineStr">
        <is>
          <t>94b4e471-c18e-4abe-a328-23378e9c4b40</t>
        </is>
      </c>
      <c r="G203" s="0" t="inlineStr">
        <is>
          <t>Paket Nasi</t>
        </is>
      </c>
      <c r="H203" s="0" t="inlineStr">
        <is>
          <t>9845eb57-6109-44f5-aa9c-78c20af1ba97</t>
        </is>
      </c>
      <c r="I203" s="0" t="inlineStr">
        <is>
          <t>Paket Nasi Rendang</t>
        </is>
      </c>
      <c r="J203" s="0" t="inlineStr"/>
      <c r="K203" s="0" t="inlineStr"/>
      <c r="L203" s="0" t="inlineStr"/>
      <c r="M203" s="0" t="inlineStr"/>
      <c r="N203" s="0" t="inlineStr"/>
      <c r="O203" s="0" t="n">
        <v>0</v>
      </c>
      <c r="P203" s="0" t="n">
        <v>0</v>
      </c>
      <c r="Q203" s="0" t="n">
        <v>0</v>
      </c>
      <c r="R203" s="0" t="inlineStr">
        <is>
          <t>Available</t>
        </is>
      </c>
      <c r="S203" s="0" t="inlineStr">
        <is>
          <t>Show</t>
        </is>
      </c>
      <c r="W203" s="0" t="inlineStr"/>
      <c r="X203" s="0" t="inlineStr"/>
      <c r="Z203" s="168" t="n"/>
      <c r="AA203" s="0" t="n">
        <v>32000</v>
      </c>
      <c r="AB203" s="0" t="n">
        <v>32000</v>
      </c>
      <c r="AC203" s="0" t="inlineStr"/>
      <c r="AG203" s="168" t="n"/>
      <c r="AI203" s="168" t="inlineStr"/>
      <c r="AK203" s="0" t="inlineStr"/>
      <c r="AM203" s="168" t="inlineStr"/>
      <c r="AO203" s="168" t="n"/>
      <c r="AP203" s="0" t="inlineStr"/>
    </row>
    <row r="204">
      <c r="A204" s="0" t="inlineStr">
        <is>
          <t>GoFood</t>
        </is>
      </c>
      <c r="B204" s="0" t="inlineStr">
        <is>
          <t>Superfood (test)</t>
        </is>
      </c>
      <c r="C204" s="0" t="inlineStr">
        <is>
          <t>F</t>
        </is>
      </c>
      <c r="D204" s="0" t="inlineStr">
        <is>
          <t>https://gofood.link/a/G828092803</t>
        </is>
      </c>
      <c r="E204" s="0" t="inlineStr">
        <is>
          <t>G828092803</t>
        </is>
      </c>
      <c r="F204" s="0" t="inlineStr">
        <is>
          <t>94b4e471-c18e-4abe-a328-23378e9c4b40</t>
        </is>
      </c>
      <c r="G204" s="0" t="inlineStr">
        <is>
          <t>Paket Nasi</t>
        </is>
      </c>
      <c r="H204" s="0" t="inlineStr">
        <is>
          <t>368e1a4f-2f25-4f91-bd3f-d5b4d4a04150</t>
        </is>
      </c>
      <c r="I204" s="0" t="inlineStr">
        <is>
          <t>Paket Nasi Ikan Bakar</t>
        </is>
      </c>
      <c r="J204" s="0" t="inlineStr"/>
      <c r="K204" s="0" t="inlineStr"/>
      <c r="L204" s="0" t="inlineStr"/>
      <c r="M204" s="0" t="inlineStr"/>
      <c r="N204" s="0" t="inlineStr"/>
      <c r="O204" s="0" t="n">
        <v>0</v>
      </c>
      <c r="P204" s="0" t="n">
        <v>0</v>
      </c>
      <c r="Q204" s="0" t="n">
        <v>0</v>
      </c>
      <c r="R204" s="0" t="inlineStr">
        <is>
          <t>Available</t>
        </is>
      </c>
      <c r="S204" s="0" t="inlineStr">
        <is>
          <t>Show</t>
        </is>
      </c>
      <c r="W204" s="0" t="inlineStr"/>
      <c r="X204" s="0" t="inlineStr"/>
      <c r="Z204" s="168" t="n"/>
      <c r="AA204" s="0" t="n">
        <v>30000</v>
      </c>
      <c r="AB204" s="0" t="n">
        <v>30000</v>
      </c>
      <c r="AC204" s="0" t="inlineStr"/>
      <c r="AG204" s="168" t="n"/>
      <c r="AI204" s="168" t="inlineStr"/>
      <c r="AK204" s="0" t="inlineStr"/>
      <c r="AM204" s="168" t="inlineStr"/>
      <c r="AO204" s="168" t="n"/>
      <c r="AP204" s="0" t="inlineStr"/>
    </row>
    <row r="205">
      <c r="A205" s="0" t="inlineStr">
        <is>
          <t>GoFood</t>
        </is>
      </c>
      <c r="B205" s="0" t="inlineStr">
        <is>
          <t>Superfood (test)</t>
        </is>
      </c>
      <c r="C205" s="0" t="inlineStr">
        <is>
          <t>F</t>
        </is>
      </c>
      <c r="D205" s="0" t="inlineStr">
        <is>
          <t>https://gofood.link/a/G828092803</t>
        </is>
      </c>
      <c r="E205" s="0" t="inlineStr">
        <is>
          <t>G828092803</t>
        </is>
      </c>
      <c r="F205" s="0" t="inlineStr">
        <is>
          <t>94b4e471-c18e-4abe-a328-23378e9c4b40</t>
        </is>
      </c>
      <c r="G205" s="0" t="inlineStr">
        <is>
          <t>Paket Nasi</t>
        </is>
      </c>
      <c r="H205" s="0" t="inlineStr">
        <is>
          <t>2bfcc226-b0a3-446f-b9c9-553074174818</t>
        </is>
      </c>
      <c r="I205" s="0" t="inlineStr">
        <is>
          <t>Paket Nasi Ayam Bakar</t>
        </is>
      </c>
      <c r="J205" s="0" t="inlineStr"/>
      <c r="K205" s="0" t="inlineStr"/>
      <c r="L205" s="0" t="inlineStr"/>
      <c r="M205" s="0" t="inlineStr"/>
      <c r="N205" s="0" t="inlineStr"/>
      <c r="O205" s="0" t="n">
        <v>0</v>
      </c>
      <c r="P205" s="0" t="n">
        <v>0</v>
      </c>
      <c r="Q205" s="0" t="n">
        <v>0</v>
      </c>
      <c r="R205" s="0" t="inlineStr">
        <is>
          <t>Available</t>
        </is>
      </c>
      <c r="S205" s="0" t="inlineStr">
        <is>
          <t>Show</t>
        </is>
      </c>
      <c r="W205" s="0" t="inlineStr"/>
      <c r="X205" s="0" t="inlineStr"/>
      <c r="Z205" s="168" t="n"/>
      <c r="AA205" s="0" t="n">
        <v>29000</v>
      </c>
      <c r="AB205" s="0" t="n">
        <v>29000</v>
      </c>
      <c r="AC205" s="0" t="inlineStr"/>
      <c r="AG205" s="168" t="n"/>
      <c r="AI205" s="168" t="inlineStr"/>
      <c r="AK205" s="0" t="inlineStr"/>
      <c r="AM205" s="168" t="inlineStr"/>
      <c r="AO205" s="168" t="n"/>
      <c r="AP205" s="0" t="inlineStr"/>
    </row>
    <row r="206">
      <c r="A206" s="0" t="inlineStr">
        <is>
          <t>GoFood</t>
        </is>
      </c>
      <c r="B206" s="0" t="inlineStr">
        <is>
          <t>Superfood (test)</t>
        </is>
      </c>
      <c r="C206" s="0" t="inlineStr">
        <is>
          <t>F</t>
        </is>
      </c>
      <c r="D206" s="0" t="inlineStr">
        <is>
          <t>https://gofood.link/a/G828092803</t>
        </is>
      </c>
      <c r="E206" s="0" t="inlineStr">
        <is>
          <t>G828092803</t>
        </is>
      </c>
      <c r="F206" s="0" t="inlineStr">
        <is>
          <t>94b4e471-c18e-4abe-a328-23378e9c4b40</t>
        </is>
      </c>
      <c r="G206" s="0" t="inlineStr">
        <is>
          <t>Paket Nasi</t>
        </is>
      </c>
      <c r="H206" s="0" t="inlineStr">
        <is>
          <t>c0feeab1-c100-41e6-be81-fc47347e1253</t>
        </is>
      </c>
      <c r="I206" s="0" t="inlineStr">
        <is>
          <t>Paket Nasi Sayur</t>
        </is>
      </c>
      <c r="J206" s="0" t="inlineStr"/>
      <c r="K206" s="0" t="inlineStr"/>
      <c r="L206" s="0" t="inlineStr"/>
      <c r="M206" s="0" t="inlineStr"/>
      <c r="N206" s="0" t="inlineStr"/>
      <c r="O206" s="0" t="n">
        <v>0</v>
      </c>
      <c r="P206" s="0" t="n">
        <v>0</v>
      </c>
      <c r="Q206" s="0" t="n">
        <v>0</v>
      </c>
      <c r="R206" s="0" t="inlineStr">
        <is>
          <t>Available</t>
        </is>
      </c>
      <c r="S206" s="0" t="inlineStr">
        <is>
          <t>Show</t>
        </is>
      </c>
      <c r="W206" s="0" t="inlineStr"/>
      <c r="X206" s="0" t="inlineStr"/>
      <c r="Z206" s="168" t="n"/>
      <c r="AA206" s="0" t="n">
        <v>22000</v>
      </c>
      <c r="AB206" s="0" t="n">
        <v>22000</v>
      </c>
      <c r="AC206" s="0" t="inlineStr"/>
      <c r="AG206" s="168" t="n"/>
      <c r="AI206" s="168" t="inlineStr"/>
      <c r="AK206" s="0" t="inlineStr"/>
      <c r="AM206" s="168" t="inlineStr"/>
      <c r="AO206" s="168" t="n"/>
      <c r="AP206" s="0" t="inlineStr"/>
    </row>
  </sheetData>
  <autoFilter ref="$A$1:$AP$967"/>
  <conditionalFormatting sqref="T1:T967">
    <cfRule type="cellIs" priority="1" operator="greaterThan" dxfId="0">
      <formula>60</formula>
    </cfRule>
    <cfRule type="cellIs" priority="2" operator="lessThanOrEqual" dxfId="1">
      <formula>60</formula>
    </cfRule>
  </conditionalFormatting>
  <conditionalFormatting sqref="U1:U967">
    <cfRule type="cellIs" priority="3" operator="greaterThan" dxfId="0">
      <formula>80</formula>
    </cfRule>
    <cfRule type="cellIs" priority="4" operator="lessThanOrEqual" dxfId="1">
      <formula>80</formula>
    </cfRule>
  </conditionalFormatting>
  <conditionalFormatting sqref="M1:N967 V1:V967">
    <cfRule type="cellIs" priority="5" operator="greaterThan" dxfId="0">
      <formula>250</formula>
    </cfRule>
    <cfRule type="cellIs" priority="6" operator="lessThanOrEqual" dxfId="1">
      <formula>250</formula>
    </cfRule>
  </conditionalFormatting>
  <conditionalFormatting sqref="A1:A967">
    <cfRule type="cellIs" priority="7" operator="equal" dxfId="0">
      <formula>"GoFood"</formula>
    </cfRule>
    <cfRule type="cellIs" priority="8" operator="equal" dxfId="1">
      <formula>"GrabFood"</formula>
    </cfRule>
    <cfRule type="cellIs" priority="9" operator="equal" dxfId="2">
      <formula>"ShopeeFood"</formula>
    </cfRule>
  </conditionalFormatting>
  <conditionalFormatting sqref="AO2:AO967">
    <cfRule type="expression" priority="10" dxfId="1">
      <formula>AND(     $AO2&lt;&gt;"",     OR(         AND(OR($A2="GoFood",$A2="GrabFood"),$AO2&gt;=-15%,$AO2&lt;=15%),         AND($A2="ShopeeFood",$AO2&gt;=-25%,$AO2&lt;=25%)     ) )</formula>
    </cfRule>
    <cfRule type="expression" priority="11" dxfId="0">
      <formula>AND(     $AO2&lt;&gt;"",     OR(         AND(OR($A2="GoFood",$A2="GrabFood"),OR($AO2&lt;-15%,$AO2&gt;15%)),         AND($A2="ShopeeFood",OR($AO2&lt;-25%,$AO2&gt;25%))     ) )</formula>
    </cfRule>
  </conditionalFormatting>
  <dataValidations count="3">
    <dataValidation sqref="M2:M124" showDropDown="0" showInputMessage="0" showErrorMessage="1" allowBlank="0" type="list">
      <formula1>"Yes"</formula1>
    </dataValidation>
    <dataValidation sqref="N2:N6 N8:N124" showDropDown="0" showInputMessage="0" showErrorMessage="1" allowBlank="0" type="list">
      <formula1>"By GD,By PIC"</formula1>
    </dataValidation>
    <dataValidation sqref="N7" showDropDown="0" showInputMessage="0" showErrorMessage="1" allowBlank="0" type="list">
      <formula1>"By PIC,By GD"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N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13.38" customWidth="1" style="131" min="2" max="2"/>
    <col width="18.13" customWidth="1" style="131" min="3" max="3"/>
    <col width="12.25" customWidth="1" style="131" min="4" max="4"/>
    <col width="6.25" customWidth="1" style="131" min="5" max="5"/>
    <col width="6.88" customWidth="1" style="131" min="6" max="6"/>
    <col width="17.63" customWidth="1" style="131" min="7" max="7"/>
    <col width="15.5" customWidth="1" style="131" min="8" max="8"/>
    <col width="12.13" customWidth="1" style="131" min="9" max="9"/>
    <col width="10" customWidth="1" style="131" min="10" max="10"/>
    <col width="6.38" customWidth="1" style="131" min="11" max="11"/>
    <col width="6.75" customWidth="1" style="131" min="12" max="12"/>
    <col width="12.25" customWidth="1" style="131" min="13" max="14"/>
    <col width="15.5" customWidth="1" style="131" min="15" max="15"/>
    <col width="10" customWidth="1" style="131" min="16" max="16"/>
    <col width="17.13" customWidth="1" style="131" min="17" max="17"/>
    <col width="16.5" customWidth="1" style="131" min="18" max="18"/>
    <col width="21.5" customWidth="1" style="131" min="19" max="19"/>
    <col width="19" customWidth="1" style="131" min="20" max="20"/>
    <col width="17.88" customWidth="1" style="131" min="21" max="21"/>
    <col width="16.38" customWidth="1" style="131" min="22" max="22"/>
    <col width="15.25" customWidth="1" style="131" min="23" max="23"/>
    <col width="16.5" customWidth="1" style="131" min="24" max="24"/>
    <col width="19.63" customWidth="1" style="131" min="25" max="25"/>
  </cols>
  <sheetData>
    <row r="1">
      <c r="A1" s="4" t="inlineStr">
        <is>
          <t>OFD</t>
        </is>
      </c>
      <c r="B1" s="4" t="inlineStr">
        <is>
          <t>Outlet Name</t>
        </is>
      </c>
      <c r="C1" s="4" t="inlineStr">
        <is>
          <t>Outlet Short Name</t>
        </is>
      </c>
      <c r="D1" s="12" t="inlineStr">
        <is>
          <t>Outlet Link</t>
        </is>
      </c>
      <c r="E1" s="4" t="inlineStr">
        <is>
          <t>SID</t>
        </is>
      </c>
      <c r="F1" s="12" t="inlineStr">
        <is>
          <t>Item</t>
        </is>
      </c>
      <c r="G1" s="12" t="inlineStr">
        <is>
          <t>Modifier Group ID</t>
        </is>
      </c>
      <c r="H1" s="12" t="inlineStr">
        <is>
          <t>Modifier Group</t>
        </is>
      </c>
      <c r="I1" s="12" t="inlineStr">
        <is>
          <t>Modifier ID</t>
        </is>
      </c>
      <c r="J1" s="12" t="inlineStr">
        <is>
          <t>Modifier</t>
        </is>
      </c>
      <c r="K1" s="12" t="inlineStr">
        <is>
          <t>Min</t>
        </is>
      </c>
      <c r="L1" s="12" t="inlineStr">
        <is>
          <t>Max</t>
        </is>
      </c>
      <c r="M1" s="12" t="inlineStr">
        <is>
          <t>Availability</t>
        </is>
      </c>
      <c r="N1" s="12" t="inlineStr">
        <is>
          <t>Visibility</t>
        </is>
      </c>
      <c r="O1" s="25">
        <f t="array" ref="O1:O1000">{"Modifier Group"; IF(H2:H1000="", , LEN(H2:H1000))}</f>
        <v/>
      </c>
      <c r="P1" s="25">
        <f t="array" ref="P1:P1000">{"Modifier"; IF(J2:J1000="", , LEN(J2:J1000))}</f>
        <v/>
      </c>
      <c r="Q1" s="160" t="inlineStr">
        <is>
          <t>Offline Price (Rp)</t>
        </is>
      </c>
      <c r="R1" s="160" t="inlineStr">
        <is>
          <t>Adjustment (Rp)</t>
        </is>
      </c>
      <c r="S1" s="161">
        <f t="array" ref="S1:S1000">{
"Final Offline Price (Rp)";
IF(
 (Q2:Q1000="")*(R2:R1000=""),
 ,
 N(Q2:Q1000)+N(R2:R1000)
)
}</f>
        <v/>
      </c>
      <c r="T1" s="50">
        <f t="array" ref="T1:T1000">{
"Current Markup (%)";
IF(
 (U2:U1000="")+(Q2:Q1000=""),
 ,
 IF(
  (U2:U1000=0)+(Q2:Q1000=0),
  0,
  (U2:U1000-Q2:Q1000)/Q2:Q1000
 )
)
}</f>
        <v/>
      </c>
      <c r="U1" s="162" t="inlineStr">
        <is>
          <t>Current Price (Rp)</t>
        </is>
      </c>
      <c r="V1" s="52" t="inlineStr">
        <is>
          <t>New Markup (%)</t>
        </is>
      </c>
      <c r="W1" s="163">
        <f t="array" ref="W1:W1000">{
"New Price (Rp)";
IF(
 (S2:S1000="")+(V2:V1000=""),
 ,
 IF(
  (S2:S1000=0)+(V2:V1000=0),
  0,
  S2:S1000+(S2:S1000*V2:V1000)
 )
)
}</f>
        <v/>
      </c>
      <c r="X1" s="164" t="inlineStr">
        <is>
          <t>Adjustment (Rp)</t>
        </is>
      </c>
      <c r="Y1" s="163">
        <f t="array" ref="Y1:Y1000">{
"Final New Price (Rp)";
IF(
 (W2:W1000="")*(X2:X1000=""),
 ,
 N(W2:W1000)+N(X2:X1000)
)
}</f>
        <v/>
      </c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</row>
  </sheetData>
  <autoFilter ref="$A$1:$Y$1000"/>
  <conditionalFormatting sqref="O1:O1000">
    <cfRule type="cellIs" priority="1" operator="greaterThan" dxfId="0">
      <formula>80</formula>
    </cfRule>
    <cfRule type="cellIs" priority="2" operator="lessThanOrEqual" dxfId="1">
      <formula>80</formula>
    </cfRule>
  </conditionalFormatting>
  <conditionalFormatting sqref="P1:P1000">
    <cfRule type="cellIs" priority="3" operator="greaterThan" dxfId="0">
      <formula>70</formula>
    </cfRule>
    <cfRule type="cellIs" priority="4" operator="lessThanOrEqual" dxfId="1">
      <formula>70</formula>
    </cfRule>
  </conditionalFormatting>
  <conditionalFormatting sqref="A1:A1000">
    <cfRule type="cellIs" priority="5" operator="equal" dxfId="0">
      <formula>"GoFood"</formula>
    </cfRule>
    <cfRule type="cellIs" priority="6" operator="equal" dxfId="1">
      <formula>"GrabFood"</formula>
    </cfRule>
    <cfRule type="cellIs" priority="7" operator="equal" dxfId="2">
      <formula>"ShopeeFood"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2026-08-02T22:15:20Z</dcterms:created>
  <dcterms:modified xsi:type="dcterms:W3CDTF">2026-08-10T02:10:51Z</dcterms:modified>
</cp:coreProperties>
</file>